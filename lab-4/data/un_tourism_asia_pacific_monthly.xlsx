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" sheetId="1" state="visible" r:id="rId2"/>
    <sheet name="Data" sheetId="2" state="visible" r:id="rId3"/>
    <sheet name="Annual" sheetId="3" state="visible" r:id="rId4"/>
    <sheet name="Seasonality" sheetId="4" state="visible" r:id="rId5"/>
    <sheet name="ACF" sheetId="5" state="visible" r:id="rId6"/>
    <sheet name="Trend" sheetId="6" state="visible" r:id="rId7"/>
    <sheet name="Dashboard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<sst xmlns="http://schemas.openxmlformats.org/spreadsheetml/2006/main" count="207" uniqueCount="136">
  <si>
    <t xml:space="preserve">Source and workbook assumptions</t>
  </si>
  <si>
    <t xml:space="preserve">Field</t>
  </si>
  <si>
    <t xml:space="preserve">Value</t>
  </si>
  <si>
    <t xml:space="preserve">Notes</t>
  </si>
  <si>
    <t xml:space="preserve">URL</t>
  </si>
  <si>
    <t xml:space="preserve">Topic</t>
  </si>
  <si>
    <t xml:space="preserve">Post-COVID Reshaping of Tourism Seasonality in Asia and the Pacific</t>
  </si>
  <si>
    <t xml:space="preserve">Geography</t>
  </si>
  <si>
    <t xml:space="preserve">Asia and the Pacific</t>
  </si>
  <si>
    <t xml:space="preserve">UN Tourism regional aggregate</t>
  </si>
  <si>
    <t xml:space="preserve">Indicator</t>
  </si>
  <si>
    <t xml:space="preserve">International tourist arrivals, monthly volumes</t>
  </si>
  <si>
    <t xml:space="preserve">Million arrivals</t>
  </si>
  <si>
    <t xml:space="preserve">Observation period</t>
  </si>
  <si>
    <t xml:space="preserve">2019-01 to 2024-03</t>
  </si>
  <si>
    <t xml:space="preserve">2024 contains January-March only</t>
  </si>
  <si>
    <t xml:space="preserve">Complete years used in main formulas</t>
  </si>
  <si>
    <t xml:space="preserve">Full monthly years: 2019-2023</t>
  </si>
  <si>
    <t xml:space="preserve">Baseline year</t>
  </si>
  <si>
    <t xml:space="preserve">Used for monthly recovery index</t>
  </si>
  <si>
    <t xml:space="preserve">Outlier threshold</t>
  </si>
  <si>
    <t xml:space="preserve">Absolute residual z-score threshold</t>
  </si>
  <si>
    <t xml:space="preserve">Data type</t>
  </si>
  <si>
    <t xml:space="preserve">Digitized from official UN Tourism chart; annual-adjusted</t>
  </si>
  <si>
    <t xml:space="preserve">Prepared monthly values</t>
  </si>
  <si>
    <t xml:space="preserve">Primary source</t>
  </si>
  <si>
    <t xml:space="preserve">UN Tourism Data Dashboard</t>
  </si>
  <si>
    <t xml:space="preserve">Monthly and annual tourism data</t>
  </si>
  <si>
    <t xml:space="preserve">https://www.untourism.int/tourism-data/un-tourism-tourism-dashboard</t>
  </si>
  <si>
    <t xml:space="preserve">Statistical source</t>
  </si>
  <si>
    <t xml:space="preserve">UN Tourism World Tourism Barometer and Statistical Annex</t>
  </si>
  <si>
    <t xml:space="preserve">Chart A-6 and table A-14</t>
  </si>
  <si>
    <t xml:space="preserve">https://www.untourism.int/tourism-data</t>
  </si>
  <si>
    <t xml:space="preserve">t</t>
  </si>
  <si>
    <t xml:space="preserve">Date</t>
  </si>
  <si>
    <t xml:space="preserve">Year</t>
  </si>
  <si>
    <t xml:space="preserve">Month</t>
  </si>
  <si>
    <t xml:space="preserve">Month name</t>
  </si>
  <si>
    <t xml:space="preserve">Region</t>
  </si>
  <si>
    <t xml:space="preserve">Arrivals, mln</t>
  </si>
  <si>
    <t xml:space="preserve">ln(arrivals)</t>
  </si>
  <si>
    <t xml:space="preserve">Monthly change</t>
  </si>
  <si>
    <t xml:space="preserve">YoY change</t>
  </si>
  <si>
    <t xml:space="preserve">MA 3</t>
  </si>
  <si>
    <t xml:space="preserve">MA 6</t>
  </si>
  <si>
    <t xml:space="preserve">MA 12 trailing</t>
  </si>
  <si>
    <t xml:space="preserve">Trend-cycle MA 12</t>
  </si>
  <si>
    <t xml:space="preserve">Index vs 2019 same month</t>
  </si>
  <si>
    <t xml:space="preserve">Seasonal factor</t>
  </si>
  <si>
    <t xml:space="preserve">Deseasonalized</t>
  </si>
  <si>
    <t xml:space="preserve">Linear trend</t>
  </si>
  <si>
    <t xml:space="preserve">Residual</t>
  </si>
  <si>
    <t xml:space="preserve">|Residual|</t>
  </si>
  <si>
    <t xml:space="preserve">Residual z-score</t>
  </si>
  <si>
    <t xml:space="preserve">Outlier flag</t>
  </si>
  <si>
    <t xml:space="preserve">Seasonal difference 12m</t>
  </si>
  <si>
    <t xml:space="preserve">Phase</t>
  </si>
  <si>
    <t xml:space="preserve">Absolute percentage error</t>
  </si>
  <si>
    <t xml:space="preserve">Annual summary</t>
  </si>
  <si>
    <t xml:space="preserve">Months available</t>
  </si>
  <si>
    <t xml:space="preserve">Total arrivals, mln</t>
  </si>
  <si>
    <t xml:space="preserve">Average monthly, mln</t>
  </si>
  <si>
    <t xml:space="preserve">Index to 2019</t>
  </si>
  <si>
    <t xml:space="preserve">Min monthly, mln</t>
  </si>
  <si>
    <t xml:space="preserve">Max monthly, mln</t>
  </si>
  <si>
    <t xml:space="preserve">Completeness</t>
  </si>
  <si>
    <t xml:space="preserve">Seasonality profile by month</t>
  </si>
  <si>
    <t xml:space="preserve">2019 baseline, mln</t>
  </si>
  <si>
    <t xml:space="preserve">2023, mln</t>
  </si>
  <si>
    <t xml:space="preserve">2024 available, mln</t>
  </si>
  <si>
    <t xml:space="preserve">Average 2019-2023, mln</t>
  </si>
  <si>
    <t xml:space="preserve">Share 2019</t>
  </si>
  <si>
    <t xml:space="preserve">Share 2023</t>
  </si>
  <si>
    <t xml:space="preserve">Share change, p.p.</t>
  </si>
  <si>
    <t xml:space="preserve">Additive seasonal factor</t>
  </si>
  <si>
    <t xml:space="preserve">2023 rank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</si>
  <si>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</si>
  <si>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</si>
  <si>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</si>
  <si>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</si>
  <si>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</si>
  <si>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</si>
  <si>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</si>
  <si>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</si>
  <si>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</si>
  <si>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</si>
  <si>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</si>
  <si>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</si>
  <si>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Autocorrelation and stationarity checks</t>
  </si>
  <si>
    <t xml:space="preserve">Lag</t>
  </si>
  <si>
    <t xml:space="preserve">ACF raw series</t>
  </si>
  <si>
    <t xml:space="preserve">ACF first difference</t>
  </si>
  <si>
    <t xml:space="preserve">ACF seasonal difference</t>
  </si>
  <si>
    <t xml:space="preserve">+/- significance band</t>
  </si>
  <si>
    <t xml:space="preserve">Technical note</t>
  </si>
  <si>
    <t xml:space="preserve">Check</t>
  </si>
  <si>
    <t xml:space="preserve">Formula result</t>
  </si>
  <si>
    <t xml:space="preserve">Meaning</t>
  </si>
  <si>
    <t xml:space="preserve">Raw lag-1 ACF</t>
  </si>
  <si>
    <t xml:space="preserve">High value means trend/persistence</t>
  </si>
  <si>
    <t xml:space="preserve">First-difference lag-1 ACF</t>
  </si>
  <si>
    <t xml:space="preserve">Lower value means differencing reduces persistence</t>
  </si>
  <si>
    <t xml:space="preserve">Seasonal lag-12 ACF</t>
  </si>
  <si>
    <t xml:space="preserve">Large value signals yearly seasonality</t>
  </si>
  <si>
    <t xml:space="preserve">Recommended transformation</t>
  </si>
  <si>
    <t xml:space="preserve">Use first and seasonal differences for stationarity checks</t>
  </si>
  <si>
    <t xml:space="preserve">Main complete sample</t>
  </si>
  <si>
    <t xml:space="preserve">2019-2023 monthly observations</t>
  </si>
  <si>
    <t xml:space="preserve">Trend model and anomalies</t>
  </si>
  <si>
    <t xml:space="preserve">Metric</t>
  </si>
  <si>
    <t xml:space="preserve">Slope, mln per month</t>
  </si>
  <si>
    <t xml:space="preserve">Intercept</t>
  </si>
  <si>
    <t xml:space="preserve">R-squared</t>
  </si>
  <si>
    <t xml:space="preserve">RMSE, mln</t>
  </si>
  <si>
    <t xml:space="preserve">MAPE</t>
  </si>
  <si>
    <t xml:space="preserve">Detected anomalies</t>
  </si>
  <si>
    <t xml:space="preserve">Actual, mln</t>
  </si>
  <si>
    <t xml:space="preserve">MA 12</t>
  </si>
  <si>
    <t xml:space="preserve">Z-score</t>
  </si>
  <si>
    <t xml:space="preserve">Flag</t>
  </si>
  <si>
    <t xml:space="preserve">UN Tourism monthly arrivals: Asia and the Pacific, 2019-2024</t>
  </si>
  <si>
    <t xml:space="preserve">Post-COVID seasonality, trend, anomalies and recovery indicators</t>
  </si>
  <si>
    <t xml:space="preserve">Observations</t>
  </si>
  <si>
    <t xml:space="preserve">Baseline 2019 total</t>
  </si>
  <si>
    <t xml:space="preserve">2023 total</t>
  </si>
  <si>
    <t xml:space="preserve">2023 vs 2019</t>
  </si>
  <si>
    <t xml:space="preserve">Min month</t>
  </si>
  <si>
    <t xml:space="preserve">Max month</t>
  </si>
  <si>
    <t xml:space="preserve">Avg 2019-2023</t>
  </si>
  <si>
    <t xml:space="preserve">Anomaly count</t>
  </si>
  <si>
    <t xml:space="preserve">Sample</t>
  </si>
  <si>
    <t xml:space="preserve">Complete monthly sample: 2019-2023. The 2024 data include January-March only.</t>
  </si>
  <si>
    <t xml:space="preserve">Calculations</t>
  </si>
  <si>
    <t xml:space="preserve">Derived columns are formula-based: smoothing, seasonality, autocorrelation, trend, residuals and anomaly flags.</t>
  </si>
  <si>
    <t xml:space="preserve">Source</t>
  </si>
  <si>
    <t xml:space="preserve">UN Tourism Data Dashboard; UN Tourism World Tourism Barometer and Statistical Annex.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</si>
</sst>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"/>
    <numFmt numFmtId="166" formatCode="0.000"/>
    <numFmt numFmtId="167" formatCode="0.0%"/>
    <numFmt numFmtId="168" formatCode="0.00"/>
    <numFmt numFmtId="169" formatCode="0"/>
    <numFmt numFmtId="170" formatCode="0.0"/>
    <numFmt numFmtId="171" formatCode="General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Aptos"/>
      <family val="0"/>
      <charset val="1"/>
    </font>
    <font>
      <sz val="10"/>
      <color rgb="FF111827"/>
      <name val="Aptos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6B7280"/>
      <name val="Calibri"/>
      <family val="0"/>
      <charset val="1"/>
    </font>
    <font>
      <b val="true"/>
      <sz val="11"/>
      <color rgb="FF111827"/>
      <name val="Calibri"/>
      <family val="0"/>
      <charset val="1"/>
    </font>
    <font>
      <b val="true"/>
      <sz val="14"/>
      <color rgb="FF111827"/>
      <name val="Calibri"/>
      <family val="0"/>
      <charset val="1"/>
    </font>
    <font>
      <sz val="11"/>
      <color rgb="FF111827"/>
      <name val="Calibri"/>
      <family val="0"/>
      <charset val="1"/>
    </font>
    <font>
      <sz val="6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EFF6FF"/>
        <bgColor rgb="FFFFFFFF"/>
      </patternFill>
    </fill>
    <fill>
      <patternFill patternType="solid">
        <fgColor rgb="FFFFFFFF"/>
        <bgColor rgb="FFEFF6FF"/>
      </patternFill>
    </fill>
    <fill>
      <patternFill patternType="solid">
        <fgColor rgb="FFDBEAFE"/>
        <bgColor rgb="FFEFF6FF"/>
      </patternFill>
    </fill>
    <fill>
      <patternFill patternType="solid">
        <fgColor rgb="FF2563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9">
    <dxf>
      <fill>
        <patternFill patternType="solid">
          <fgColor rgb="FF1F293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B91C1C"/>
        </patternFill>
      </fill>
    </dxf>
    <dxf>
      <font>
        <color rgb="FFB91C1C"/>
      </font>
    </dxf>
    <dxf>
      <font>
        <b val="1"/>
        <color rgb="FF991B1B"/>
      </font>
      <fill>
        <patternFill>
          <b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DDFBE6"/>
        </patternFill>
      </fill>
    </dxf>
    <dxf>
      <fill>
        <patternFill patternType="solid">
          <fgColor rgb="FFF7F5CE"/>
        </patternFill>
      </fill>
    </dxf>
    <dxf>
      <fill>
        <patternFill patternType="solid">
          <fgColor rgb="FFFCF3C8"/>
        </patternFill>
      </fill>
    </dxf>
    <dxf>
      <fill>
        <patternFill patternType="solid">
          <fgColor rgb="FFFCF3C9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3E0"/>
        </patternFill>
      </fill>
    </dxf>
    <dxf>
      <fill>
        <patternFill patternType="solid">
          <fgColor rgb="FFFEE5DD"/>
        </patternFill>
      </fill>
    </dxf>
    <dxf>
      <fill>
        <patternFill patternType="solid">
          <fgColor rgb="FFFEE7D9"/>
        </patternFill>
      </fill>
    </dxf>
    <dxf>
      <fill>
        <patternFill patternType="solid">
          <fgColor rgb="FFFEEAD5"/>
        </patternFill>
      </fill>
    </dxf>
    <dxf>
      <fill>
        <patternFill patternType="solid">
          <fgColor rgb="FFFEF2C8"/>
        </patternFill>
      </fill>
    </dxf>
    <dxf>
      <fill>
        <patternFill patternType="solid">
          <f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CCCCC"/>
      <rgbColor rgb="FF8B8B8B"/>
      <rgbColor rgb="FF9999FF"/>
      <rgbColor rgb="FFB91C1C"/>
      <rgbColor rgb="FFEFF6FF"/>
      <rgbColor rgb="FFDBEA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E97132"/>
      <rgbColor rgb="FF6B7280"/>
      <rgbColor rgb="FF969696"/>
      <rgbColor rgb="FF003366"/>
      <rgbColor rgb="FF339966"/>
      <rgbColor rgb="FF111827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Annual arrivals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 arrivals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"/>
                <c:pt idx="0">
                  <c:v>362.671</c:v>
                </c:pt>
                <c:pt idx="1">
                  <c:v>59.114</c:v>
                </c:pt>
                <c:pt idx="2">
                  <c:v>26.475</c:v>
                </c:pt>
                <c:pt idx="3">
                  <c:v>93.334</c:v>
                </c:pt>
                <c:pt idx="4">
                  <c:v>237.237</c:v>
                </c:pt>
                <c:pt idx="5">
                  <c:v>76.333</c:v>
                </c:pt>
              </c:numCache>
            </c:numRef>
          </c:val>
        </c:ser>
        <c:gapWidth val="150"/>
        <c:overlap val="0"/>
        <c:axId val="28043239"/>
        <c:axId val="59666849"/>
      </c:barChart>
      <c:catAx>
        <c:axId val="2804323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[$-409]mm/dd/yy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666849"/>
        <c:crosses val="autoZero"/>
        <c:auto val="1"/>
        <c:lblAlgn val="ctr"/>
        <c:lblOffset val="100"/>
        <c:noMultiLvlLbl val="0"/>
      </c:catAx>
      <c:valAx>
        <c:axId val="5966684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Million arrivals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0432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seasonality profile: 2019 baseline vs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2019 baseline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30.872</c:v>
                </c:pt>
                <c:pt idx="1">
                  <c:v>30.366</c:v>
                </c:pt>
                <c:pt idx="2">
                  <c:v>31.985</c:v>
                </c:pt>
                <c:pt idx="3">
                  <c:v>31.581</c:v>
                </c:pt>
                <c:pt idx="4">
                  <c:v>29.354</c:v>
                </c:pt>
                <c:pt idx="5">
                  <c:v>29.556</c:v>
                </c:pt>
                <c:pt idx="6">
                  <c:v>30.872</c:v>
                </c:pt>
                <c:pt idx="7">
                  <c:v>30.366</c:v>
                </c:pt>
                <c:pt idx="8">
                  <c:v>27.127</c:v>
                </c:pt>
                <c:pt idx="9">
                  <c:v>29.354</c:v>
                </c:pt>
                <c:pt idx="10">
                  <c:v>29.556</c:v>
                </c:pt>
                <c:pt idx="11">
                  <c:v>31.682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2"/>
                <c:pt idx="0">
                  <c:v>14.57</c:v>
                </c:pt>
                <c:pt idx="1">
                  <c:v>15.575</c:v>
                </c:pt>
                <c:pt idx="2">
                  <c:v>17.584</c:v>
                </c:pt>
                <c:pt idx="3">
                  <c:v>18.087</c:v>
                </c:pt>
                <c:pt idx="4">
                  <c:v>18.087</c:v>
                </c:pt>
                <c:pt idx="5">
                  <c:v>19.594</c:v>
                </c:pt>
                <c:pt idx="6">
                  <c:v>21.603</c:v>
                </c:pt>
                <c:pt idx="7">
                  <c:v>22.106</c:v>
                </c:pt>
                <c:pt idx="8">
                  <c:v>20.297</c:v>
                </c:pt>
                <c:pt idx="9">
                  <c:v>21.704</c:v>
                </c:pt>
                <c:pt idx="10">
                  <c:v>22.307</c:v>
                </c:pt>
                <c:pt idx="11">
                  <c:v>25.723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56747"/>
        <c:axId val="99671724"/>
      </c:lineChart>
      <c:catAx>
        <c:axId val="845674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[$-409]mm/dd/yy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671724"/>
        <c:crosses val="autoZero"/>
        <c:auto val="1"/>
        <c:lblAlgn val="ctr"/>
        <c:lblOffset val="100"/>
        <c:noMultiLvlLbl val="0"/>
      </c:catAx>
      <c:valAx>
        <c:axId val="9967172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Million arrivals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567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Correlogram: raw series vs first difference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ACF raw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5"/>
                <c:pt idx="0">
                  <c:v>1</c:v>
                </c:pt>
                <c:pt idx="1">
                  <c:v>0.972340796913012</c:v>
                </c:pt>
                <c:pt idx="2">
                  <c:v>0.912730262954038</c:v>
                </c:pt>
                <c:pt idx="3">
                  <c:v>0.843067613186196</c:v>
                </c:pt>
                <c:pt idx="4">
                  <c:v>0.774015081061934</c:v>
                </c:pt>
                <c:pt idx="5">
                  <c:v>0.69985088719516</c:v>
                </c:pt>
                <c:pt idx="6">
                  <c:v>0.618032225094281</c:v>
                </c:pt>
                <c:pt idx="7">
                  <c:v>0.526051460976327</c:v>
                </c:pt>
                <c:pt idx="8">
                  <c:v>0.423975626757662</c:v>
                </c:pt>
                <c:pt idx="9">
                  <c:v>0.314113986965858</c:v>
                </c:pt>
                <c:pt idx="10">
                  <c:v>0.185040194212952</c:v>
                </c:pt>
                <c:pt idx="11">
                  <c:v>0.0436557130857913</c:v>
                </c:pt>
                <c:pt idx="12">
                  <c:v>-0.117559623418808</c:v>
                </c:pt>
                <c:pt idx="13">
                  <c:v>-0.295964240228646</c:v>
                </c:pt>
                <c:pt idx="14">
                  <c:v>-0.407871074147336</c:v>
                </c:pt>
                <c:pt idx="15">
                  <c:v>-0.457318343330475</c:v>
                </c:pt>
                <c:pt idx="16">
                  <c:v>-0.492043888536932</c:v>
                </c:pt>
                <c:pt idx="17">
                  <c:v>-0.527914514819583</c:v>
                </c:pt>
                <c:pt idx="18">
                  <c:v>-0.567688264930403</c:v>
                </c:pt>
                <c:pt idx="19">
                  <c:v>-0.604495899642338</c:v>
                </c:pt>
                <c:pt idx="20">
                  <c:v>-0.640643686269964</c:v>
                </c:pt>
                <c:pt idx="21">
                  <c:v>-0.670696837696639</c:v>
                </c:pt>
                <c:pt idx="22">
                  <c:v>-0.692397252777014</c:v>
                </c:pt>
                <c:pt idx="23">
                  <c:v>-0.716850736157017</c:v>
                </c:pt>
                <c:pt idx="24">
                  <c:v>-0.748628596417432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ACF first difference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5"/>
                <c:pt idx="0">
                  <c:v>1</c:v>
                </c:pt>
                <c:pt idx="1">
                  <c:v>0.560784775781055</c:v>
                </c:pt>
                <c:pt idx="2">
                  <c:v>0.118922260486673</c:v>
                </c:pt>
                <c:pt idx="3">
                  <c:v>-0.0592007311414982</c:v>
                </c:pt>
                <c:pt idx="4">
                  <c:v>-0.0060078556563618</c:v>
                </c:pt>
                <c:pt idx="5">
                  <c:v>0.0483937673091904</c:v>
                </c:pt>
                <c:pt idx="6">
                  <c:v>0.0916530760122961</c:v>
                </c:pt>
                <c:pt idx="7">
                  <c:v>0.0917664920008089</c:v>
                </c:pt>
                <c:pt idx="8">
                  <c:v>0.0809946400751498</c:v>
                </c:pt>
                <c:pt idx="9">
                  <c:v>0.0875372757511801</c:v>
                </c:pt>
                <c:pt idx="10">
                  <c:v>0.055214983882377</c:v>
                </c:pt>
                <c:pt idx="11">
                  <c:v>-0.0574990519974492</c:v>
                </c:pt>
                <c:pt idx="12">
                  <c:v>0.0211422712907416</c:v>
                </c:pt>
                <c:pt idx="13">
                  <c:v>0.0640317754975208</c:v>
                </c:pt>
                <c:pt idx="14">
                  <c:v>0.0855720910826636</c:v>
                </c:pt>
                <c:pt idx="15">
                  <c:v>0.132292283185422</c:v>
                </c:pt>
                <c:pt idx="16">
                  <c:v>0.120387083947826</c:v>
                </c:pt>
                <c:pt idx="17">
                  <c:v>0.17978753516036</c:v>
                </c:pt>
                <c:pt idx="18">
                  <c:v>0.161229215002238</c:v>
                </c:pt>
                <c:pt idx="19">
                  <c:v>0.120043495544673</c:v>
                </c:pt>
                <c:pt idx="20">
                  <c:v>0.0791978169469749</c:v>
                </c:pt>
                <c:pt idx="21">
                  <c:v>0.0255559697134755</c:v>
                </c:pt>
                <c:pt idx="22">
                  <c:v>0.208060612836519</c:v>
                </c:pt>
                <c:pt idx="23">
                  <c:v>0.280670020275706</c:v>
                </c:pt>
                <c:pt idx="24">
                  <c:v>0.159277114931115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+/- band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25"/>
                <c:pt idx="0">
                  <c:v>0.253034911952218</c:v>
                </c:pt>
                <c:pt idx="1">
                  <c:v>0.253034911952218</c:v>
                </c:pt>
                <c:pt idx="2">
                  <c:v>0.253034911952218</c:v>
                </c:pt>
                <c:pt idx="3">
                  <c:v>0.253034911952218</c:v>
                </c:pt>
                <c:pt idx="4">
                  <c:v>0.253034911952218</c:v>
                </c:pt>
                <c:pt idx="5">
                  <c:v>0.253034911952218</c:v>
                </c:pt>
                <c:pt idx="6">
                  <c:v>0.253034911952218</c:v>
                </c:pt>
                <c:pt idx="7">
                  <c:v>0.253034911952218</c:v>
                </c:pt>
                <c:pt idx="8">
                  <c:v>0.253034911952218</c:v>
                </c:pt>
                <c:pt idx="9">
                  <c:v>0.253034911952218</c:v>
                </c:pt>
                <c:pt idx="10">
                  <c:v>0.253034911952218</c:v>
                </c:pt>
                <c:pt idx="11">
                  <c:v>0.253034911952218</c:v>
                </c:pt>
                <c:pt idx="12">
                  <c:v>0.253034911952218</c:v>
                </c:pt>
                <c:pt idx="13">
                  <c:v>0.253034911952218</c:v>
                </c:pt>
                <c:pt idx="14">
                  <c:v>0.253034911952218</c:v>
                </c:pt>
                <c:pt idx="15">
                  <c:v>0.253034911952218</c:v>
                </c:pt>
                <c:pt idx="16">
                  <c:v>0.253034911952218</c:v>
                </c:pt>
                <c:pt idx="17">
                  <c:v>0.253034911952218</c:v>
                </c:pt>
                <c:pt idx="18">
                  <c:v>0.253034911952218</c:v>
                </c:pt>
                <c:pt idx="19">
                  <c:v>0.253034911952218</c:v>
                </c:pt>
                <c:pt idx="20">
                  <c:v>0.253034911952218</c:v>
                </c:pt>
                <c:pt idx="21">
                  <c:v>0.253034911952218</c:v>
                </c:pt>
                <c:pt idx="22">
                  <c:v>0.253034911952218</c:v>
                </c:pt>
                <c:pt idx="23">
                  <c:v>0.253034911952218</c:v>
                </c:pt>
                <c:pt idx="24">
                  <c:v>0.253034911952218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739121"/>
        <c:axId val="15605536"/>
      </c:lineChart>
      <c:catAx>
        <c:axId val="2173912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[$-409]mm/dd/yy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605536"/>
        <c:crosses val="autoZero"/>
        <c:auto val="1"/>
        <c:lblAlgn val="ctr"/>
        <c:lblOffset val="100"/>
        <c:noMultiLvlLbl val="0"/>
      </c:catAx>
      <c:valAx>
        <c:axId val="1560553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7391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Actual arrivals vs fitted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6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3"/>
                <c:pt idx="0">
                  <c:v>30.872</c:v>
                </c:pt>
                <c:pt idx="1">
                  <c:v>30.366</c:v>
                </c:pt>
                <c:pt idx="2">
                  <c:v>31.985</c:v>
                </c:pt>
                <c:pt idx="3">
                  <c:v>31.581</c:v>
                </c:pt>
                <c:pt idx="4">
                  <c:v>29.354</c:v>
                </c:pt>
                <c:pt idx="5">
                  <c:v>29.556</c:v>
                </c:pt>
                <c:pt idx="6">
                  <c:v>30.872</c:v>
                </c:pt>
                <c:pt idx="7">
                  <c:v>30.366</c:v>
                </c:pt>
                <c:pt idx="8">
                  <c:v>27.127</c:v>
                </c:pt>
                <c:pt idx="9">
                  <c:v>29.354</c:v>
                </c:pt>
                <c:pt idx="10">
                  <c:v>29.556</c:v>
                </c:pt>
                <c:pt idx="11">
                  <c:v>31.682</c:v>
                </c:pt>
                <c:pt idx="12">
                  <c:v>28.512</c:v>
                </c:pt>
                <c:pt idx="13">
                  <c:v>16.157</c:v>
                </c:pt>
                <c:pt idx="14">
                  <c:v>3.802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1.426</c:v>
                </c:pt>
                <c:pt idx="19">
                  <c:v>2.376</c:v>
                </c:pt>
                <c:pt idx="20">
                  <c:v>1.901</c:v>
                </c:pt>
                <c:pt idx="21">
                  <c:v>0.76</c:v>
                </c:pt>
                <c:pt idx="22">
                  <c:v>0.57</c:v>
                </c:pt>
                <c:pt idx="23">
                  <c:v>0.76</c:v>
                </c:pt>
                <c:pt idx="24">
                  <c:v>1.516</c:v>
                </c:pt>
                <c:pt idx="25">
                  <c:v>1.516</c:v>
                </c:pt>
                <c:pt idx="26">
                  <c:v>1.718</c:v>
                </c:pt>
                <c:pt idx="27">
                  <c:v>2.021</c:v>
                </c:pt>
                <c:pt idx="28">
                  <c:v>2.021</c:v>
                </c:pt>
                <c:pt idx="29">
                  <c:v>2.021</c:v>
                </c:pt>
                <c:pt idx="30">
                  <c:v>2.324</c:v>
                </c:pt>
                <c:pt idx="31">
                  <c:v>2.122</c:v>
                </c:pt>
                <c:pt idx="32">
                  <c:v>2.021</c:v>
                </c:pt>
                <c:pt idx="33">
                  <c:v>2.324</c:v>
                </c:pt>
                <c:pt idx="34">
                  <c:v>3.031</c:v>
                </c:pt>
                <c:pt idx="35">
                  <c:v>3.84</c:v>
                </c:pt>
                <c:pt idx="36">
                  <c:v>2.453</c:v>
                </c:pt>
                <c:pt idx="37">
                  <c:v>2.56</c:v>
                </c:pt>
                <c:pt idx="38">
                  <c:v>2.987</c:v>
                </c:pt>
                <c:pt idx="39">
                  <c:v>4.267</c:v>
                </c:pt>
                <c:pt idx="40">
                  <c:v>5.76</c:v>
                </c:pt>
                <c:pt idx="41">
                  <c:v>7.253</c:v>
                </c:pt>
                <c:pt idx="42">
                  <c:v>9.28</c:v>
                </c:pt>
                <c:pt idx="43">
                  <c:v>9.28</c:v>
                </c:pt>
                <c:pt idx="44">
                  <c:v>9.494</c:v>
                </c:pt>
                <c:pt idx="45">
                  <c:v>11.2</c:v>
                </c:pt>
                <c:pt idx="46">
                  <c:v>12.8</c:v>
                </c:pt>
                <c:pt idx="47">
                  <c:v>16</c:v>
                </c:pt>
                <c:pt idx="48">
                  <c:v>14.57</c:v>
                </c:pt>
                <c:pt idx="49">
                  <c:v>15.575</c:v>
                </c:pt>
                <c:pt idx="50">
                  <c:v>17.584</c:v>
                </c:pt>
                <c:pt idx="51">
                  <c:v>18.087</c:v>
                </c:pt>
                <c:pt idx="52">
                  <c:v>18.087</c:v>
                </c:pt>
                <c:pt idx="53">
                  <c:v>19.594</c:v>
                </c:pt>
                <c:pt idx="54">
                  <c:v>21.603</c:v>
                </c:pt>
                <c:pt idx="55">
                  <c:v>22.106</c:v>
                </c:pt>
                <c:pt idx="56">
                  <c:v>20.297</c:v>
                </c:pt>
                <c:pt idx="57">
                  <c:v>21.704</c:v>
                </c:pt>
                <c:pt idx="58">
                  <c:v>22.307</c:v>
                </c:pt>
                <c:pt idx="59">
                  <c:v>25.723</c:v>
                </c:pt>
                <c:pt idx="60">
                  <c:v>24.543</c:v>
                </c:pt>
                <c:pt idx="61">
                  <c:v>25.69</c:v>
                </c:pt>
                <c:pt idx="62">
                  <c:v>26.1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Fitted trend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6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63"/>
                <c:pt idx="0">
                  <c:v>17.1386666666667</c:v>
                </c:pt>
                <c:pt idx="1">
                  <c:v>16.9977124293785</c:v>
                </c:pt>
                <c:pt idx="2">
                  <c:v>16.8567581920904</c:v>
                </c:pt>
                <c:pt idx="3">
                  <c:v>16.7158039548023</c:v>
                </c:pt>
                <c:pt idx="4">
                  <c:v>16.5748497175141</c:v>
                </c:pt>
                <c:pt idx="5">
                  <c:v>16.433895480226</c:v>
                </c:pt>
                <c:pt idx="6">
                  <c:v>16.2929412429379</c:v>
                </c:pt>
                <c:pt idx="7">
                  <c:v>16.1519870056497</c:v>
                </c:pt>
                <c:pt idx="8">
                  <c:v>16.0110327683616</c:v>
                </c:pt>
                <c:pt idx="9">
                  <c:v>15.8700785310734</c:v>
                </c:pt>
                <c:pt idx="10">
                  <c:v>15.7291242937853</c:v>
                </c:pt>
                <c:pt idx="11">
                  <c:v>15.5881700564972</c:v>
                </c:pt>
                <c:pt idx="12">
                  <c:v>15.447215819209</c:v>
                </c:pt>
                <c:pt idx="13">
                  <c:v>15.3062615819209</c:v>
                </c:pt>
                <c:pt idx="14">
                  <c:v>15.1653073446328</c:v>
                </c:pt>
                <c:pt idx="15">
                  <c:v>15.0243531073446</c:v>
                </c:pt>
                <c:pt idx="16">
                  <c:v>14.8833988700565</c:v>
                </c:pt>
                <c:pt idx="17">
                  <c:v>14.7424446327684</c:v>
                </c:pt>
                <c:pt idx="18">
                  <c:v>14.6014903954802</c:v>
                </c:pt>
                <c:pt idx="19">
                  <c:v>14.4605361581921</c:v>
                </c:pt>
                <c:pt idx="20">
                  <c:v>14.319581920904</c:v>
                </c:pt>
                <c:pt idx="21">
                  <c:v>14.1786276836158</c:v>
                </c:pt>
                <c:pt idx="22">
                  <c:v>14.0376734463277</c:v>
                </c:pt>
                <c:pt idx="23">
                  <c:v>13.8967192090395</c:v>
                </c:pt>
                <c:pt idx="24">
                  <c:v>13.7557649717514</c:v>
                </c:pt>
                <c:pt idx="25">
                  <c:v>13.6148107344633</c:v>
                </c:pt>
                <c:pt idx="26">
                  <c:v>13.4738564971751</c:v>
                </c:pt>
                <c:pt idx="27">
                  <c:v>13.332902259887</c:v>
                </c:pt>
                <c:pt idx="28">
                  <c:v>13.1919480225989</c:v>
                </c:pt>
                <c:pt idx="29">
                  <c:v>13.0509937853107</c:v>
                </c:pt>
                <c:pt idx="30">
                  <c:v>12.9100395480226</c:v>
                </c:pt>
                <c:pt idx="31">
                  <c:v>12.7690853107345</c:v>
                </c:pt>
                <c:pt idx="32">
                  <c:v>12.6281310734463</c:v>
                </c:pt>
                <c:pt idx="33">
                  <c:v>12.4871768361582</c:v>
                </c:pt>
                <c:pt idx="34">
                  <c:v>12.3462225988701</c:v>
                </c:pt>
                <c:pt idx="35">
                  <c:v>12.2052683615819</c:v>
                </c:pt>
                <c:pt idx="36">
                  <c:v>12.0643141242938</c:v>
                </c:pt>
                <c:pt idx="37">
                  <c:v>11.9233598870056</c:v>
                </c:pt>
                <c:pt idx="38">
                  <c:v>11.7824056497175</c:v>
                </c:pt>
                <c:pt idx="39">
                  <c:v>11.6414514124294</c:v>
                </c:pt>
                <c:pt idx="40">
                  <c:v>11.5004971751412</c:v>
                </c:pt>
                <c:pt idx="41">
                  <c:v>11.3595429378531</c:v>
                </c:pt>
                <c:pt idx="42">
                  <c:v>11.218588700565</c:v>
                </c:pt>
                <c:pt idx="43">
                  <c:v>11.0776344632768</c:v>
                </c:pt>
                <c:pt idx="44">
                  <c:v>10.9366802259887</c:v>
                </c:pt>
                <c:pt idx="45">
                  <c:v>10.7957259887006</c:v>
                </c:pt>
                <c:pt idx="46">
                  <c:v>10.6547717514124</c:v>
                </c:pt>
                <c:pt idx="47">
                  <c:v>10.5138175141243</c:v>
                </c:pt>
                <c:pt idx="48">
                  <c:v>10.3728632768362</c:v>
                </c:pt>
                <c:pt idx="49">
                  <c:v>10.231909039548</c:v>
                </c:pt>
                <c:pt idx="50">
                  <c:v>10.0909548022599</c:v>
                </c:pt>
                <c:pt idx="51">
                  <c:v>9.95000056497175</c:v>
                </c:pt>
                <c:pt idx="52">
                  <c:v>9.80904632768361</c:v>
                </c:pt>
                <c:pt idx="53">
                  <c:v>9.66809209039548</c:v>
                </c:pt>
                <c:pt idx="54">
                  <c:v>9.52713785310734</c:v>
                </c:pt>
                <c:pt idx="55">
                  <c:v>9.38618361581921</c:v>
                </c:pt>
                <c:pt idx="56">
                  <c:v>9.24522937853107</c:v>
                </c:pt>
                <c:pt idx="57">
                  <c:v>9.10427514124294</c:v>
                </c:pt>
                <c:pt idx="58">
                  <c:v>8.9633209039548</c:v>
                </c:pt>
                <c:pt idx="59">
                  <c:v>8.82236666666666</c:v>
                </c:pt>
                <c:pt idx="60">
                  <c:v>8.68141242937853</c:v>
                </c:pt>
                <c:pt idx="61">
                  <c:v>8.54045819209039</c:v>
                </c:pt>
                <c:pt idx="62">
                  <c:v>8.39950395480226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31236"/>
        <c:axId val="547405"/>
      </c:lineChart>
      <c:catAx>
        <c:axId val="683123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[$-409]mm/dd/yy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7405"/>
        <c:crosses val="autoZero"/>
        <c:auto val="1"/>
        <c:lblAlgn val="ctr"/>
        <c:lblOffset val="100"/>
        <c:noMultiLvlLbl val="0"/>
      </c:catAx>
      <c:valAx>
        <c:axId val="54740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Million arrivals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312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arrivals, smoothing and fitted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Monthly arrivals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6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3"/>
                <c:pt idx="0">
                  <c:v>30.872</c:v>
                </c:pt>
                <c:pt idx="1">
                  <c:v>30.366</c:v>
                </c:pt>
                <c:pt idx="2">
                  <c:v>31.985</c:v>
                </c:pt>
                <c:pt idx="3">
                  <c:v>31.581</c:v>
                </c:pt>
                <c:pt idx="4">
                  <c:v>29.354</c:v>
                </c:pt>
                <c:pt idx="5">
                  <c:v>29.556</c:v>
                </c:pt>
                <c:pt idx="6">
                  <c:v>30.872</c:v>
                </c:pt>
                <c:pt idx="7">
                  <c:v>30.366</c:v>
                </c:pt>
                <c:pt idx="8">
                  <c:v>27.127</c:v>
                </c:pt>
                <c:pt idx="9">
                  <c:v>29.354</c:v>
                </c:pt>
                <c:pt idx="10">
                  <c:v>29.556</c:v>
                </c:pt>
                <c:pt idx="11">
                  <c:v>31.682</c:v>
                </c:pt>
                <c:pt idx="12">
                  <c:v>28.512</c:v>
                </c:pt>
                <c:pt idx="13">
                  <c:v>16.157</c:v>
                </c:pt>
                <c:pt idx="14">
                  <c:v>3.802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1.426</c:v>
                </c:pt>
                <c:pt idx="19">
                  <c:v>2.376</c:v>
                </c:pt>
                <c:pt idx="20">
                  <c:v>1.901</c:v>
                </c:pt>
                <c:pt idx="21">
                  <c:v>0.76</c:v>
                </c:pt>
                <c:pt idx="22">
                  <c:v>0.57</c:v>
                </c:pt>
                <c:pt idx="23">
                  <c:v>0.76</c:v>
                </c:pt>
                <c:pt idx="24">
                  <c:v>1.516</c:v>
                </c:pt>
                <c:pt idx="25">
                  <c:v>1.516</c:v>
                </c:pt>
                <c:pt idx="26">
                  <c:v>1.718</c:v>
                </c:pt>
                <c:pt idx="27">
                  <c:v>2.021</c:v>
                </c:pt>
                <c:pt idx="28">
                  <c:v>2.021</c:v>
                </c:pt>
                <c:pt idx="29">
                  <c:v>2.021</c:v>
                </c:pt>
                <c:pt idx="30">
                  <c:v>2.324</c:v>
                </c:pt>
                <c:pt idx="31">
                  <c:v>2.122</c:v>
                </c:pt>
                <c:pt idx="32">
                  <c:v>2.021</c:v>
                </c:pt>
                <c:pt idx="33">
                  <c:v>2.324</c:v>
                </c:pt>
                <c:pt idx="34">
                  <c:v>3.031</c:v>
                </c:pt>
                <c:pt idx="35">
                  <c:v>3.84</c:v>
                </c:pt>
                <c:pt idx="36">
                  <c:v>2.453</c:v>
                </c:pt>
                <c:pt idx="37">
                  <c:v>2.56</c:v>
                </c:pt>
                <c:pt idx="38">
                  <c:v>2.987</c:v>
                </c:pt>
                <c:pt idx="39">
                  <c:v>4.267</c:v>
                </c:pt>
                <c:pt idx="40">
                  <c:v>5.76</c:v>
                </c:pt>
                <c:pt idx="41">
                  <c:v>7.253</c:v>
                </c:pt>
                <c:pt idx="42">
                  <c:v>9.28</c:v>
                </c:pt>
                <c:pt idx="43">
                  <c:v>9.28</c:v>
                </c:pt>
                <c:pt idx="44">
                  <c:v>9.494</c:v>
                </c:pt>
                <c:pt idx="45">
                  <c:v>11.2</c:v>
                </c:pt>
                <c:pt idx="46">
                  <c:v>12.8</c:v>
                </c:pt>
                <c:pt idx="47">
                  <c:v>16</c:v>
                </c:pt>
                <c:pt idx="48">
                  <c:v>14.57</c:v>
                </c:pt>
                <c:pt idx="49">
                  <c:v>15.575</c:v>
                </c:pt>
                <c:pt idx="50">
                  <c:v>17.584</c:v>
                </c:pt>
                <c:pt idx="51">
                  <c:v>18.087</c:v>
                </c:pt>
                <c:pt idx="52">
                  <c:v>18.087</c:v>
                </c:pt>
                <c:pt idx="53">
                  <c:v>19.594</c:v>
                </c:pt>
                <c:pt idx="54">
                  <c:v>21.603</c:v>
                </c:pt>
                <c:pt idx="55">
                  <c:v>22.106</c:v>
                </c:pt>
                <c:pt idx="56">
                  <c:v>20.297</c:v>
                </c:pt>
                <c:pt idx="57">
                  <c:v>21.704</c:v>
                </c:pt>
                <c:pt idx="58">
                  <c:v>22.307</c:v>
                </c:pt>
                <c:pt idx="59">
                  <c:v>25.723</c:v>
                </c:pt>
                <c:pt idx="60">
                  <c:v>24.543</c:v>
                </c:pt>
                <c:pt idx="61">
                  <c:v>25.69</c:v>
                </c:pt>
                <c:pt idx="62">
                  <c:v>26.1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6-month rolling average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6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63"/>
                <c:pt idx="0">
                  <c:v>30.872</c:v>
                </c:pt>
                <c:pt idx="1">
                  <c:v>30.619</c:v>
                </c:pt>
                <c:pt idx="2">
                  <c:v>31.0743333333333</c:v>
                </c:pt>
                <c:pt idx="3">
                  <c:v>31.201</c:v>
                </c:pt>
                <c:pt idx="4">
                  <c:v>30.8316</c:v>
                </c:pt>
                <c:pt idx="5">
                  <c:v>30.619</c:v>
                </c:pt>
                <c:pt idx="6">
                  <c:v>30.619</c:v>
                </c:pt>
                <c:pt idx="7">
                  <c:v>30.619</c:v>
                </c:pt>
                <c:pt idx="8">
                  <c:v>29.8093333333333</c:v>
                </c:pt>
                <c:pt idx="9">
                  <c:v>29.4381666666667</c:v>
                </c:pt>
                <c:pt idx="10">
                  <c:v>29.4718333333333</c:v>
                </c:pt>
                <c:pt idx="11">
                  <c:v>29.8261666666667</c:v>
                </c:pt>
                <c:pt idx="12">
                  <c:v>29.4328333333333</c:v>
                </c:pt>
                <c:pt idx="13">
                  <c:v>27.0646666666667</c:v>
                </c:pt>
                <c:pt idx="14">
                  <c:v>23.1771666666667</c:v>
                </c:pt>
                <c:pt idx="15">
                  <c:v>18.4431666666667</c:v>
                </c:pt>
                <c:pt idx="16">
                  <c:v>13.6755</c:v>
                </c:pt>
                <c:pt idx="17">
                  <c:v>8.5535</c:v>
                </c:pt>
                <c:pt idx="18">
                  <c:v>4.03916666666667</c:v>
                </c:pt>
                <c:pt idx="19">
                  <c:v>1.74233333333333</c:v>
                </c:pt>
                <c:pt idx="20">
                  <c:v>1.4255</c:v>
                </c:pt>
                <c:pt idx="21">
                  <c:v>1.39383333333333</c:v>
                </c:pt>
                <c:pt idx="22">
                  <c:v>1.3305</c:v>
                </c:pt>
                <c:pt idx="23">
                  <c:v>1.29883333333333</c:v>
                </c:pt>
                <c:pt idx="24">
                  <c:v>1.31383333333333</c:v>
                </c:pt>
                <c:pt idx="25">
                  <c:v>1.1705</c:v>
                </c:pt>
                <c:pt idx="26">
                  <c:v>1.14</c:v>
                </c:pt>
                <c:pt idx="27">
                  <c:v>1.35016666666667</c:v>
                </c:pt>
                <c:pt idx="28">
                  <c:v>1.592</c:v>
                </c:pt>
                <c:pt idx="29">
                  <c:v>1.80216666666667</c:v>
                </c:pt>
                <c:pt idx="30">
                  <c:v>1.93683333333333</c:v>
                </c:pt>
                <c:pt idx="31">
                  <c:v>2.03783333333333</c:v>
                </c:pt>
                <c:pt idx="32">
                  <c:v>2.08833333333333</c:v>
                </c:pt>
                <c:pt idx="33">
                  <c:v>2.13883333333333</c:v>
                </c:pt>
                <c:pt idx="34">
                  <c:v>2.30716666666667</c:v>
                </c:pt>
                <c:pt idx="35">
                  <c:v>2.61033333333333</c:v>
                </c:pt>
                <c:pt idx="36">
                  <c:v>2.63183333333333</c:v>
                </c:pt>
                <c:pt idx="37">
                  <c:v>2.70483333333333</c:v>
                </c:pt>
                <c:pt idx="38">
                  <c:v>2.86583333333333</c:v>
                </c:pt>
                <c:pt idx="39">
                  <c:v>3.18966666666667</c:v>
                </c:pt>
                <c:pt idx="40">
                  <c:v>3.6445</c:v>
                </c:pt>
                <c:pt idx="41">
                  <c:v>4.21333333333333</c:v>
                </c:pt>
                <c:pt idx="42">
                  <c:v>5.35116666666667</c:v>
                </c:pt>
                <c:pt idx="43">
                  <c:v>6.47116666666667</c:v>
                </c:pt>
                <c:pt idx="44">
                  <c:v>7.55566666666667</c:v>
                </c:pt>
                <c:pt idx="45">
                  <c:v>8.71116666666667</c:v>
                </c:pt>
                <c:pt idx="46">
                  <c:v>9.8845</c:v>
                </c:pt>
                <c:pt idx="47">
                  <c:v>11.3423333333333</c:v>
                </c:pt>
                <c:pt idx="48">
                  <c:v>12.224</c:v>
                </c:pt>
                <c:pt idx="49">
                  <c:v>13.2731666666667</c:v>
                </c:pt>
                <c:pt idx="50">
                  <c:v>14.6215</c:v>
                </c:pt>
                <c:pt idx="51">
                  <c:v>15.7693333333333</c:v>
                </c:pt>
                <c:pt idx="52">
                  <c:v>16.6505</c:v>
                </c:pt>
                <c:pt idx="53">
                  <c:v>17.2495</c:v>
                </c:pt>
                <c:pt idx="54">
                  <c:v>18.4216666666667</c:v>
                </c:pt>
                <c:pt idx="55">
                  <c:v>19.5101666666667</c:v>
                </c:pt>
                <c:pt idx="56">
                  <c:v>19.9623333333333</c:v>
                </c:pt>
                <c:pt idx="57">
                  <c:v>20.5651666666667</c:v>
                </c:pt>
                <c:pt idx="58">
                  <c:v>21.2685</c:v>
                </c:pt>
                <c:pt idx="59">
                  <c:v>22.29</c:v>
                </c:pt>
                <c:pt idx="60">
                  <c:v>22.78</c:v>
                </c:pt>
                <c:pt idx="61">
                  <c:v>23.3773333333333</c:v>
                </c:pt>
                <c:pt idx="62">
                  <c:v>24.3445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Linear trend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6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63"/>
                <c:pt idx="0">
                  <c:v>17.1386666666667</c:v>
                </c:pt>
                <c:pt idx="1">
                  <c:v>16.9977124293785</c:v>
                </c:pt>
                <c:pt idx="2">
                  <c:v>16.8567581920904</c:v>
                </c:pt>
                <c:pt idx="3">
                  <c:v>16.7158039548023</c:v>
                </c:pt>
                <c:pt idx="4">
                  <c:v>16.5748497175141</c:v>
                </c:pt>
                <c:pt idx="5">
                  <c:v>16.433895480226</c:v>
                </c:pt>
                <c:pt idx="6">
                  <c:v>16.2929412429379</c:v>
                </c:pt>
                <c:pt idx="7">
                  <c:v>16.1519870056497</c:v>
                </c:pt>
                <c:pt idx="8">
                  <c:v>16.0110327683616</c:v>
                </c:pt>
                <c:pt idx="9">
                  <c:v>15.8700785310734</c:v>
                </c:pt>
                <c:pt idx="10">
                  <c:v>15.7291242937853</c:v>
                </c:pt>
                <c:pt idx="11">
                  <c:v>15.5881700564972</c:v>
                </c:pt>
                <c:pt idx="12">
                  <c:v>15.447215819209</c:v>
                </c:pt>
                <c:pt idx="13">
                  <c:v>15.3062615819209</c:v>
                </c:pt>
                <c:pt idx="14">
                  <c:v>15.1653073446328</c:v>
                </c:pt>
                <c:pt idx="15">
                  <c:v>15.0243531073446</c:v>
                </c:pt>
                <c:pt idx="16">
                  <c:v>14.8833988700565</c:v>
                </c:pt>
                <c:pt idx="17">
                  <c:v>14.7424446327684</c:v>
                </c:pt>
                <c:pt idx="18">
                  <c:v>14.6014903954802</c:v>
                </c:pt>
                <c:pt idx="19">
                  <c:v>14.4605361581921</c:v>
                </c:pt>
                <c:pt idx="20">
                  <c:v>14.319581920904</c:v>
                </c:pt>
                <c:pt idx="21">
                  <c:v>14.1786276836158</c:v>
                </c:pt>
                <c:pt idx="22">
                  <c:v>14.0376734463277</c:v>
                </c:pt>
                <c:pt idx="23">
                  <c:v>13.8967192090395</c:v>
                </c:pt>
                <c:pt idx="24">
                  <c:v>13.7557649717514</c:v>
                </c:pt>
                <c:pt idx="25">
                  <c:v>13.6148107344633</c:v>
                </c:pt>
                <c:pt idx="26">
                  <c:v>13.4738564971751</c:v>
                </c:pt>
                <c:pt idx="27">
                  <c:v>13.332902259887</c:v>
                </c:pt>
                <c:pt idx="28">
                  <c:v>13.1919480225989</c:v>
                </c:pt>
                <c:pt idx="29">
                  <c:v>13.0509937853107</c:v>
                </c:pt>
                <c:pt idx="30">
                  <c:v>12.9100395480226</c:v>
                </c:pt>
                <c:pt idx="31">
                  <c:v>12.7690853107345</c:v>
                </c:pt>
                <c:pt idx="32">
                  <c:v>12.6281310734463</c:v>
                </c:pt>
                <c:pt idx="33">
                  <c:v>12.4871768361582</c:v>
                </c:pt>
                <c:pt idx="34">
                  <c:v>12.3462225988701</c:v>
                </c:pt>
                <c:pt idx="35">
                  <c:v>12.2052683615819</c:v>
                </c:pt>
                <c:pt idx="36">
                  <c:v>12.0643141242938</c:v>
                </c:pt>
                <c:pt idx="37">
                  <c:v>11.9233598870056</c:v>
                </c:pt>
                <c:pt idx="38">
                  <c:v>11.7824056497175</c:v>
                </c:pt>
                <c:pt idx="39">
                  <c:v>11.6414514124294</c:v>
                </c:pt>
                <c:pt idx="40">
                  <c:v>11.5004971751412</c:v>
                </c:pt>
                <c:pt idx="41">
                  <c:v>11.3595429378531</c:v>
                </c:pt>
                <c:pt idx="42">
                  <c:v>11.218588700565</c:v>
                </c:pt>
                <c:pt idx="43">
                  <c:v>11.0776344632768</c:v>
                </c:pt>
                <c:pt idx="44">
                  <c:v>10.9366802259887</c:v>
                </c:pt>
                <c:pt idx="45">
                  <c:v>10.7957259887006</c:v>
                </c:pt>
                <c:pt idx="46">
                  <c:v>10.6547717514124</c:v>
                </c:pt>
                <c:pt idx="47">
                  <c:v>10.5138175141243</c:v>
                </c:pt>
                <c:pt idx="48">
                  <c:v>10.3728632768362</c:v>
                </c:pt>
                <c:pt idx="49">
                  <c:v>10.231909039548</c:v>
                </c:pt>
                <c:pt idx="50">
                  <c:v>10.0909548022599</c:v>
                </c:pt>
                <c:pt idx="51">
                  <c:v>9.95000056497175</c:v>
                </c:pt>
                <c:pt idx="52">
                  <c:v>9.80904632768361</c:v>
                </c:pt>
                <c:pt idx="53">
                  <c:v>9.66809209039548</c:v>
                </c:pt>
                <c:pt idx="54">
                  <c:v>9.52713785310734</c:v>
                </c:pt>
                <c:pt idx="55">
                  <c:v>9.38618361581921</c:v>
                </c:pt>
                <c:pt idx="56">
                  <c:v>9.24522937853107</c:v>
                </c:pt>
                <c:pt idx="57">
                  <c:v>9.10427514124294</c:v>
                </c:pt>
                <c:pt idx="58">
                  <c:v>8.9633209039548</c:v>
                </c:pt>
                <c:pt idx="59">
                  <c:v>8.82236666666666</c:v>
                </c:pt>
                <c:pt idx="60">
                  <c:v>8.68141242937853</c:v>
                </c:pt>
                <c:pt idx="61">
                  <c:v>8.54045819209039</c:v>
                </c:pt>
                <c:pt idx="62">
                  <c:v>8.39950395480226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361404"/>
        <c:axId val="42206681"/>
      </c:lineChart>
      <c:catAx>
        <c:axId val="7336140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[$-409]mm/dd/yy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206681"/>
        <c:crosses val="autoZero"/>
        <c:auto val="1"/>
        <c:lblAlgn val="ctr"/>
        <c:lblOffset val="100"/>
        <c:noMultiLvlLbl val="0"/>
      </c:catAx>
      <c:valAx>
        <c:axId val="4220668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Million arrivals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3614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5</xdr:col>
      <xdr:colOff>99360</xdr:colOff>
      <xdr:row>25</xdr:row>
      <xdr:rowOff>95040</xdr:rowOff>
    </xdr:to>
    <xdr:graphicFrame>
      <xdr:nvGraphicFramePr>
        <xdr:cNvPr id="0" name="Chart"/>
        <xdr:cNvGraphicFramePr/>
      </xdr:nvGraphicFramePr>
      <xdr:xfrm>
        <a:off x="0" y="2455560"/>
        <a:ext cx="6857640" cy="276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5</xdr:col>
      <xdr:colOff>1458720</xdr:colOff>
      <xdr:row>31</xdr:row>
      <xdr:rowOff>95040</xdr:rowOff>
    </xdr:to>
    <xdr:graphicFrame>
      <xdr:nvGraphicFramePr>
        <xdr:cNvPr id="1" name="Chart"/>
        <xdr:cNvGraphicFramePr/>
      </xdr:nvGraphicFramePr>
      <xdr:xfrm>
        <a:off x="0" y="3598560"/>
        <a:ext cx="7238520" cy="276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4</xdr:col>
      <xdr:colOff>1546920</xdr:colOff>
      <xdr:row>44</xdr:row>
      <xdr:rowOff>95040</xdr:rowOff>
    </xdr:to>
    <xdr:graphicFrame>
      <xdr:nvGraphicFramePr>
        <xdr:cNvPr id="2" name="Chart"/>
        <xdr:cNvGraphicFramePr/>
      </xdr:nvGraphicFramePr>
      <xdr:xfrm>
        <a:off x="0" y="6075000"/>
        <a:ext cx="7238520" cy="276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17</xdr:col>
      <xdr:colOff>408960</xdr:colOff>
      <xdr:row>16</xdr:row>
      <xdr:rowOff>95040</xdr:rowOff>
    </xdr:to>
    <xdr:graphicFrame>
      <xdr:nvGraphicFramePr>
        <xdr:cNvPr id="3" name="Chart"/>
        <xdr:cNvGraphicFramePr/>
      </xdr:nvGraphicFramePr>
      <xdr:xfrm>
        <a:off x="8582040" y="571680"/>
        <a:ext cx="7238520" cy="276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437760</xdr:colOff>
      <xdr:row>29</xdr:row>
      <xdr:rowOff>94680</xdr:rowOff>
    </xdr:to>
    <xdr:graphicFrame>
      <xdr:nvGraphicFramePr>
        <xdr:cNvPr id="4" name="Chart"/>
        <xdr:cNvGraphicFramePr/>
      </xdr:nvGraphicFramePr>
      <xdr:xfrm>
        <a:off x="0" y="2755800"/>
        <a:ext cx="7905240" cy="31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FTable" displayName="ACFTable" ref="A3:F28" headerRowCount="1" totalsRowCount="0" totalsRowShown="0">
  <tableColumns count="6">
    <tableColumn id="1" name="Lag"/>
    <tableColumn id="2" name="ACF raw series"/>
    <tableColumn id="3" name="ACF first difference"/>
    <tableColumn id="4" name="ACF seasonal difference"/>
    <tableColumn id="5" name="+/- significance band"/>
    <tableColumn id="6" name="Technical note"/>
  </tableColumns>
</table>
</file>

<file path=xl/tables/table2.xml><?xml version="1.0" encoding="utf-8"?>
<table xmlns="http://schemas.openxmlformats.org/spreadsheetml/2006/main" id="2" name="AnnualSummary" displayName="AnnualSummary" ref="A3:I9" headerRowCount="1" totalsRowCount="0" totalsRowShown="0">
  <tableColumns count="9">
    <tableColumn id="1" name="Year"/>
    <tableColumn id="2" name="Months available"/>
    <tableColumn id="3" name="Total arrivals, mln"/>
    <tableColumn id="4" name="Average monthly, mln"/>
    <tableColumn id="5" name="Index to 2019"/>
    <tableColumn id="6" name="YoY change"/>
    <tableColumn id="7" name="Min monthly, mln"/>
    <tableColumn id="8" name="Max monthly, mln"/>
    <tableColumn id="9" name="Completeness"/>
  </tableColumns>
</table>
</file>

<file path=xl/tables/table3.xml><?xml version="1.0" encoding="utf-8"?>
<table xmlns="http://schemas.openxmlformats.org/spreadsheetml/2006/main" id="3" name="MonthlyData" displayName="MonthlyData" ref="A1:Y64" headerRowCount="1" totalsRowCount="0" totalsRowShown="0">
  <tableColumns count="25">
    <tableColumn id="1" name="t"/>
    <tableColumn id="2" name="Date"/>
    <tableColumn id="3" name="Year"/>
    <tableColumn id="4" name="Month"/>
    <tableColumn id="5" name="Month name"/>
    <tableColumn id="6" name="Region"/>
    <tableColumn id="7" name="Arrivals, mln"/>
    <tableColumn id="8" name="ln(arrivals)"/>
    <tableColumn id="9" name="Monthly change"/>
    <tableColumn id="10" name="YoY change"/>
    <tableColumn id="11" name="MA 3"/>
    <tableColumn id="12" name="MA 6"/>
    <tableColumn id="13" name="MA 12 trailing"/>
    <tableColumn id="14" name="Trend-cycle MA 12"/>
    <tableColumn id="15" name="Index vs 2019 same month"/>
    <tableColumn id="16" name="Seasonal factor"/>
    <tableColumn id="17" name="Deseasonalized"/>
    <tableColumn id="18" name="Linear trend"/>
    <tableColumn id="19" name="Residual"/>
    <tableColumn id="20" name="|Residual|"/>
    <tableColumn id="21" name="Residual z-score"/>
    <tableColumn id="22" name="Outlier flag"/>
    <tableColumn id="23" name="Seasonal difference 12m"/>
    <tableColumn id="24" name="Phase"/>
    <tableColumn id="25" name="Absolute percentage error"/>
  </tableColumns>
</table>
</file>

<file path=xl/tables/table4.xml><?xml version="1.0" encoding="utf-8"?>
<table xmlns="http://schemas.openxmlformats.org/spreadsheetml/2006/main" id="4" name="SeasonalityTable" displayName="SeasonalityTable" ref="A3:K15" headerRowCount="1" totalsRowCount="0" totalsRowShown="0">
  <tableColumns count="11">
    <tableColumn id="1" name="Month"/>
    <tableColumn id="2" name="Month name"/>
    <tableColumn id="3" name="2019 baseline, mln"/>
    <tableColumn id="4" name="2023, mln"/>
    <tableColumn id="5" name="2024 available, mln"/>
    <tableColumn id="6" name="Average 2019-2023, mln"/>
    <tableColumn id="7" name="Share 2019"/>
    <tableColumn id="8" name="Share 2023"/>
    <tableColumn id="9" name="Share change, p.p."/>
    <tableColumn id="10" name="Additive seasonal factor"/>
    <tableColumn id="11" name="2023 rank"/>
  </tableColumns>
</table>
</file>

<file path=xl/tables/table5.xml><?xml version="1.0" encoding="utf-8"?>
<table xmlns="http://schemas.openxmlformats.org/spreadsheetml/2006/main" id="5" name="TrendData" displayName="TrendData" ref="A11:G74" headerRowCount="1" totalsRowCount="0" totalsRowShown="0">
  <tableColumns count="7">
    <tableColumn id="1" name="Date"/>
    <tableColumn id="2" name="Actual, mln"/>
    <tableColumn id="3" name="MA 12"/>
    <tableColumn id="4" name="Linear trend"/>
    <tableColumn id="5" name="Residual"/>
    <tableColumn id="6" name="Z-score"/>
    <tableColumn id="7" name="Flag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30.24"/>
    <col collapsed="false" customWidth="true" hidden="false" outlineLevel="0" max="3" min="2" style="0" width="52.92"/>
    <col collapsed="false" customWidth="true" hidden="false" outlineLevel="0" max="4" min="4" style="0" width="68.0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4" t="s">
        <v>6</v>
      </c>
      <c r="C4" s="4"/>
      <c r="D4" s="4"/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/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/>
    </row>
    <row r="7" customFormat="false" ht="15" hidden="false" customHeight="false" outlineLevel="0" collapsed="false">
      <c r="A7" s="4" t="s">
        <v>13</v>
      </c>
      <c r="B7" s="4" t="s">
        <v>14</v>
      </c>
      <c r="C7" s="4" t="s">
        <v>15</v>
      </c>
      <c r="D7" s="4"/>
    </row>
    <row r="8" customFormat="false" ht="15" hidden="false" customHeight="false" outlineLevel="0" collapsed="false">
      <c r="A8" s="4" t="s">
        <v>16</v>
      </c>
      <c r="B8" s="4" t="n">
        <v>2023</v>
      </c>
      <c r="C8" s="4" t="s">
        <v>17</v>
      </c>
      <c r="D8" s="4"/>
    </row>
    <row r="9" customFormat="false" ht="15" hidden="false" customHeight="false" outlineLevel="0" collapsed="false">
      <c r="A9" s="4" t="s">
        <v>18</v>
      </c>
      <c r="B9" s="4" t="n">
        <v>2019</v>
      </c>
      <c r="C9" s="4" t="s">
        <v>19</v>
      </c>
      <c r="D9" s="4"/>
    </row>
    <row r="10" customFormat="false" ht="15" hidden="false" customHeight="false" outlineLevel="0" collapsed="false">
      <c r="A10" s="4" t="s">
        <v>20</v>
      </c>
      <c r="B10" s="4" t="n">
        <v>2</v>
      </c>
      <c r="C10" s="4" t="s">
        <v>21</v>
      </c>
      <c r="D10" s="4"/>
    </row>
    <row r="11" customFormat="false" ht="15" hidden="false" customHeight="false" outlineLevel="0" collapsed="false">
      <c r="A11" s="4" t="s">
        <v>22</v>
      </c>
      <c r="B11" s="4" t="s">
        <v>23</v>
      </c>
      <c r="C11" s="4" t="s">
        <v>24</v>
      </c>
      <c r="D11" s="4"/>
    </row>
    <row r="12" customFormat="false" ht="15" hidden="false" customHeight="false" outlineLevel="0" collapsed="false">
      <c r="A12" s="4" t="s">
        <v>25</v>
      </c>
      <c r="B12" s="4" t="s">
        <v>26</v>
      </c>
      <c r="C12" s="4" t="s">
        <v>27</v>
      </c>
      <c r="D12" s="4" t="s">
        <v>28</v>
      </c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31</v>
      </c>
      <c r="D13" s="4" t="s">
        <v>32</v>
      </c>
    </row>
    <row r="14" customFormat="false" ht="15" hidden="false" customHeight="false" outlineLevel="0" collapsed="false">
      <c r="A14" s="4"/>
      <c r="B14" s="4"/>
      <c r="C14" s="4"/>
      <c r="D14" s="4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7.56"/>
    <col collapsed="false" customWidth="true" hidden="false" outlineLevel="0" max="2" min="2" style="0" width="15.12"/>
    <col collapsed="false" customWidth="true" hidden="false" outlineLevel="0" max="4" min="3" style="0" width="10.08"/>
    <col collapsed="false" customWidth="true" hidden="false" outlineLevel="0" max="5" min="5" style="0" width="15.12"/>
    <col collapsed="false" customWidth="true" hidden="false" outlineLevel="0" max="6" min="6" style="0" width="30.24"/>
    <col collapsed="false" customWidth="true" hidden="false" outlineLevel="0" max="7" min="7" style="0" width="17.64"/>
    <col collapsed="false" customWidth="true" hidden="false" outlineLevel="0" max="8" min="8" style="0" width="15.12"/>
    <col collapsed="false" customWidth="true" hidden="false" outlineLevel="0" max="9" min="9" style="0" width="17.64"/>
    <col collapsed="false" customWidth="true" hidden="false" outlineLevel="0" max="10" min="10" style="0" width="15.12"/>
    <col collapsed="false" customWidth="true" hidden="false" outlineLevel="0" max="12" min="11" style="0" width="13.86"/>
    <col collapsed="false" customWidth="true" hidden="false" outlineLevel="0" max="13" min="13" style="0" width="18.9"/>
    <col collapsed="false" customWidth="true" hidden="false" outlineLevel="0" max="14" min="14" style="0" width="20.17"/>
    <col collapsed="false" customWidth="true" hidden="false" outlineLevel="0" max="15" min="15" style="0" width="22.69"/>
    <col collapsed="false" customWidth="true" hidden="false" outlineLevel="0" max="17" min="16" style="0" width="17.64"/>
    <col collapsed="false" customWidth="true" hidden="false" outlineLevel="0" max="19" min="18" style="0" width="16.38"/>
    <col collapsed="false" customWidth="true" hidden="false" outlineLevel="0" max="20" min="20" style="0" width="15.12"/>
    <col collapsed="false" customWidth="true" hidden="false" outlineLevel="0" max="21" min="21" style="0" width="17.64"/>
    <col collapsed="false" customWidth="true" hidden="false" outlineLevel="0" max="22" min="22" style="0" width="16.38"/>
    <col collapsed="false" customWidth="true" hidden="false" outlineLevel="0" max="23" min="23" style="0" width="21.43"/>
    <col collapsed="false" customWidth="true" hidden="false" outlineLevel="0" max="24" min="24" style="0" width="17.64"/>
    <col collapsed="false" customWidth="true" hidden="false" outlineLevel="0" max="25" min="25" style="0" width="20.17"/>
  </cols>
  <sheetData>
    <row r="1" customFormat="false" ht="34" hidden="false" customHeight="true" outlineLevel="0" collapsed="false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  <c r="V1" s="5" t="s">
        <v>54</v>
      </c>
      <c r="W1" s="5" t="s">
        <v>55</v>
      </c>
      <c r="X1" s="5" t="s">
        <v>56</v>
      </c>
      <c r="Y1" s="5" t="s">
        <v>57</v>
      </c>
      <c r="Z1" s="2"/>
    </row>
    <row r="2" customFormat="false" ht="15" hidden="false" customHeight="false" outlineLevel="0" collapsed="false">
      <c r="A2" s="6" t="n">
        <v>1</v>
      </c>
      <c r="B2" s="7" t="n">
        <v>43466</v>
      </c>
      <c r="C2" s="6" t="n">
        <f aca="false">YEAR(B2)</f>
        <v>2019</v>
      </c>
      <c r="D2" s="6" t="n">
        <f aca="false">MONTH(B2)</f>
        <v>1</v>
      </c>
      <c r="E2" s="6" t="str">
        <f aca="false">TEXT(B2,"mmm")</f>
        <v>Jan</v>
      </c>
      <c r="F2" s="6" t="s">
        <v>8</v>
      </c>
      <c r="G2" s="8" t="n">
        <v>30.872</v>
      </c>
      <c r="H2" s="8" t="n">
        <f aca="false">IFERROR(LN(G2),"")</f>
        <v>3.42984962423532</v>
      </c>
      <c r="I2" s="8" t="str">
        <f aca="false">IF(A2=1,"",G2-G1)</f>
        <v/>
      </c>
      <c r="J2" s="9" t="str">
        <f aca="false">IFERROR(G2/INDEX($G:$G,MATCH(DATE(C2-1,D2,1),$B:$B,0))-1,"")</f>
        <v/>
      </c>
      <c r="K2" s="8" t="str">
        <f aca="false">""</f>
        <v/>
      </c>
      <c r="L2" s="8" t="str">
        <f aca="false">""</f>
        <v/>
      </c>
      <c r="M2" s="8" t="str">
        <f aca="false">""</f>
        <v/>
      </c>
      <c r="N2" s="8" t="str">
        <f aca="false">""</f>
        <v/>
      </c>
      <c r="O2" s="9" t="n">
        <f aca="false">IFERROR(G2/G2,"")</f>
        <v>1</v>
      </c>
      <c r="P2" s="8" t="n">
        <f aca="false">AVERAGEIFS($G:$G,$D:$D,D2,$C:$C,"&lt;="&amp;Source!$B$8)-AVERAGEIFS($G:$G,$C:$C,"&lt;="&amp;Source!$B$8)</f>
        <v>2.60408333333333</v>
      </c>
      <c r="Q2" s="8" t="n">
        <f aca="false">G2-P2</f>
        <v>28.2679166666667</v>
      </c>
      <c r="R2" s="8" t="n">
        <f aca="false">INTERCEPT($G$2:$G$61,$A$2:$A$61)+SLOPE($G$2:$G$61,$A$2:$A$61)*A2</f>
        <v>17.1386666666667</v>
      </c>
      <c r="S2" s="8" t="n">
        <f aca="false">G2-R2</f>
        <v>13.7333333333333</v>
      </c>
      <c r="T2" s="8" t="n">
        <f aca="false">ABS(S2)</f>
        <v>13.7333333333333</v>
      </c>
      <c r="U2" s="10" t="n">
        <f aca="false">IFERROR((S2-AVERAGE($S$2:$S$61))/stdev.s($S$2:$S$61),"")</f>
        <v>1.2251313491241</v>
      </c>
      <c r="V2" s="6" t="str">
        <f aca="false">IF(ABS(U2)&gt;=Source!$B$10,"Anomaly","")</f>
        <v/>
      </c>
      <c r="W2" s="8" t="str">
        <f aca="false">IF(A2&lt;=12,"",G2-INDEX($G:$G,ROW()-12))</f>
        <v/>
      </c>
      <c r="X2" s="6" t="str">
        <f aca="false">IF(C2=2019,"Baseline",IF(C2&lt;=2021,"COVID shock",IF(C2=2022,"Reopening","Recovery")))</f>
        <v>Baseline</v>
      </c>
      <c r="Y2" s="9" t="n">
        <f aca="false">IFERROR(ABS(S2/G2),"")</f>
        <v>0.444847542541246</v>
      </c>
    </row>
    <row r="3" customFormat="false" ht="15" hidden="false" customHeight="false" outlineLevel="0" collapsed="false">
      <c r="A3" s="6" t="n">
        <v>2</v>
      </c>
      <c r="B3" s="7" t="n">
        <v>43497</v>
      </c>
      <c r="C3" s="6" t="n">
        <f aca="false">YEAR(B3)</f>
        <v>2019</v>
      </c>
      <c r="D3" s="6" t="n">
        <f aca="false">MONTH(B3)</f>
        <v>2</v>
      </c>
      <c r="E3" s="6" t="str">
        <f aca="false">TEXT(B3,"mmm")</f>
        <v>Feb</v>
      </c>
      <c r="F3" s="6" t="s">
        <v>8</v>
      </c>
      <c r="G3" s="8" t="n">
        <v>30.366</v>
      </c>
      <c r="H3" s="8" t="n">
        <f aca="false">IFERROR(LN(G3),"")</f>
        <v>3.41332356146</v>
      </c>
      <c r="I3" s="8" t="n">
        <f aca="false">IF(A3=1,"",G3-G2)</f>
        <v>-0.506</v>
      </c>
      <c r="J3" s="9" t="str">
        <f aca="false">IFERROR(G3/INDEX($G:$G,MATCH(DATE(C3-1,D3,1),$B:$B,0))-1,"")</f>
        <v/>
      </c>
      <c r="K3" s="8" t="str">
        <f aca="false">""</f>
        <v/>
      </c>
      <c r="L3" s="8" t="str">
        <f aca="false">""</f>
        <v/>
      </c>
      <c r="M3" s="8" t="str">
        <f aca="false">""</f>
        <v/>
      </c>
      <c r="N3" s="8" t="str">
        <f aca="false">""</f>
        <v/>
      </c>
      <c r="O3" s="9" t="n">
        <f aca="false">IFERROR(G3/G3,"")</f>
        <v>1</v>
      </c>
      <c r="P3" s="8" t="n">
        <f aca="false">AVERAGEIFS($G:$G,$D:$D,D3,$C:$C,"&lt;="&amp;Source!$B$8)-AVERAGEIFS($G:$G,$C:$C,"&lt;="&amp;Source!$B$8)</f>
        <v>0.254283333333332</v>
      </c>
      <c r="Q3" s="8" t="n">
        <f aca="false">G3-P3</f>
        <v>30.1117166666667</v>
      </c>
      <c r="R3" s="8" t="n">
        <f aca="false">INTERCEPT($G$2:$G$61,$A$2:$A$61)+SLOPE($G$2:$G$61,$A$2:$A$61)*A3</f>
        <v>16.9977124293785</v>
      </c>
      <c r="S3" s="8" t="n">
        <f aca="false">G3-R3</f>
        <v>13.3682875706215</v>
      </c>
      <c r="T3" s="8" t="n">
        <f aca="false">ABS(S3)</f>
        <v>13.3682875706215</v>
      </c>
      <c r="U3" s="10" t="n">
        <f aca="false">IFERROR((S3-AVERAGE($S$2:$S$61))/stdev.s($S$2:$S$61),"")</f>
        <v>1.19256613011222</v>
      </c>
      <c r="V3" s="6" t="str">
        <f aca="false">IF(ABS(U3)&gt;=Source!$B$10,"Anomaly","")</f>
        <v/>
      </c>
      <c r="W3" s="8" t="str">
        <f aca="false">IF(A3&lt;=12,"",G3-INDEX($G:$G,ROW()-12))</f>
        <v/>
      </c>
      <c r="X3" s="6" t="str">
        <f aca="false">IF(C3=2019,"Baseline",IF(C3&lt;=2021,"COVID shock",IF(C3=2022,"Reopening","Recovery")))</f>
        <v>Baseline</v>
      </c>
      <c r="Y3" s="9" t="n">
        <f aca="false">IFERROR(ABS(S3/G3),"")</f>
        <v>0.440238673866215</v>
      </c>
    </row>
    <row r="4" customFormat="false" ht="15" hidden="false" customHeight="false" outlineLevel="0" collapsed="false">
      <c r="A4" s="6" t="n">
        <v>3</v>
      </c>
      <c r="B4" s="7" t="n">
        <v>43525</v>
      </c>
      <c r="C4" s="6" t="n">
        <f aca="false">YEAR(B4)</f>
        <v>2019</v>
      </c>
      <c r="D4" s="6" t="n">
        <f aca="false">MONTH(B4)</f>
        <v>3</v>
      </c>
      <c r="E4" s="6" t="str">
        <f aca="false">TEXT(B4,"mmm")</f>
        <v>Mar</v>
      </c>
      <c r="F4" s="6" t="s">
        <v>8</v>
      </c>
      <c r="G4" s="8" t="n">
        <v>31.985</v>
      </c>
      <c r="H4" s="8" t="n">
        <f aca="false">IFERROR(LN(G4),"")</f>
        <v>3.4652670429021</v>
      </c>
      <c r="I4" s="8" t="n">
        <f aca="false">IF(A4=1,"",G4-G3)</f>
        <v>1.619</v>
      </c>
      <c r="J4" s="9" t="str">
        <f aca="false">IFERROR(G4/INDEX($G:$G,MATCH(DATE(C4-1,D4,1),$B:$B,0))-1,"")</f>
        <v/>
      </c>
      <c r="K4" s="8" t="n">
        <f aca="false">AVERAGE(G2:G4)</f>
        <v>31.0743333333333</v>
      </c>
      <c r="L4" s="8" t="str">
        <f aca="false">""</f>
        <v/>
      </c>
      <c r="M4" s="8" t="str">
        <f aca="false">""</f>
        <v/>
      </c>
      <c r="N4" s="8" t="str">
        <f aca="false">""</f>
        <v/>
      </c>
      <c r="O4" s="9" t="n">
        <f aca="false">IFERROR(G4/G4,"")</f>
        <v>1</v>
      </c>
      <c r="P4" s="8" t="n">
        <f aca="false">AVERAGEIFS($G:$G,$D:$D,D4,$C:$C,"&lt;="&amp;Source!$B$8)-AVERAGEIFS($G:$G,$C:$C,"&lt;="&amp;Source!$B$8)</f>
        <v>-1.36531666666667</v>
      </c>
      <c r="Q4" s="8" t="n">
        <f aca="false">G4-P4</f>
        <v>33.3503166666667</v>
      </c>
      <c r="R4" s="8" t="n">
        <f aca="false">INTERCEPT($G$2:$G$61,$A$2:$A$61)+SLOPE($G$2:$G$61,$A$2:$A$61)*A4</f>
        <v>16.8567581920904</v>
      </c>
      <c r="S4" s="8" t="n">
        <f aca="false">G4-R4</f>
        <v>15.1282418079096</v>
      </c>
      <c r="T4" s="8" t="n">
        <f aca="false">ABS(S4)</f>
        <v>15.1282418079096</v>
      </c>
      <c r="U4" s="10" t="n">
        <f aca="false">IFERROR((S4-AVERAGE($S$2:$S$61))/stdev.s($S$2:$S$61),"")</f>
        <v>1.34956917203883</v>
      </c>
      <c r="V4" s="6" t="str">
        <f aca="false">IF(ABS(U4)&gt;=Source!$B$10,"Anomaly","")</f>
        <v/>
      </c>
      <c r="W4" s="8" t="str">
        <f aca="false">IF(A4&lt;=12,"",G4-INDEX($G:$G,ROW()-12))</f>
        <v/>
      </c>
      <c r="X4" s="6" t="str">
        <f aca="false">IF(C4=2019,"Baseline",IF(C4&lt;=2021,"COVID shock",IF(C4=2022,"Reopening","Recovery")))</f>
        <v>Baseline</v>
      </c>
      <c r="Y4" s="9" t="n">
        <f aca="false">IFERROR(ABS(S4/G4),"")</f>
        <v>0.472979265527891</v>
      </c>
    </row>
    <row r="5" customFormat="false" ht="15" hidden="false" customHeight="false" outlineLevel="0" collapsed="false">
      <c r="A5" s="6" t="n">
        <v>4</v>
      </c>
      <c r="B5" s="7" t="n">
        <v>43556</v>
      </c>
      <c r="C5" s="6" t="n">
        <f aca="false">YEAR(B5)</f>
        <v>2019</v>
      </c>
      <c r="D5" s="6" t="n">
        <f aca="false">MONTH(B5)</f>
        <v>4</v>
      </c>
      <c r="E5" s="6" t="str">
        <f aca="false">TEXT(B5,"mmm")</f>
        <v>Apr</v>
      </c>
      <c r="F5" s="6" t="s">
        <v>8</v>
      </c>
      <c r="G5" s="8" t="n">
        <v>31.581</v>
      </c>
      <c r="H5" s="8" t="n">
        <f aca="false">IFERROR(LN(G5),"")</f>
        <v>3.4525556739373</v>
      </c>
      <c r="I5" s="8" t="n">
        <f aca="false">IF(A5=1,"",G5-G4)</f>
        <v>-0.404</v>
      </c>
      <c r="J5" s="9" t="str">
        <f aca="false">IFERROR(G5/INDEX($G:$G,MATCH(DATE(C5-1,D5,1),$B:$B,0))-1,"")</f>
        <v/>
      </c>
      <c r="K5" s="8" t="n">
        <f aca="false">AVERAGE(G3:G5)</f>
        <v>31.3106666666667</v>
      </c>
      <c r="L5" s="8" t="str">
        <f aca="false">""</f>
        <v/>
      </c>
      <c r="M5" s="8" t="str">
        <f aca="false">""</f>
        <v/>
      </c>
      <c r="N5" s="8" t="str">
        <f aca="false">""</f>
        <v/>
      </c>
      <c r="O5" s="9" t="n">
        <f aca="false">IFERROR(G5/G5,"")</f>
        <v>1</v>
      </c>
      <c r="P5" s="8" t="n">
        <f aca="false">AVERAGEIFS($G:$G,$D:$D,D5,$C:$C,"&lt;="&amp;Source!$B$8)-AVERAGEIFS($G:$G,$C:$C,"&lt;="&amp;Source!$B$8)</f>
        <v>-1.59931666666667</v>
      </c>
      <c r="Q5" s="8" t="n">
        <f aca="false">G5-P5</f>
        <v>33.1803166666667</v>
      </c>
      <c r="R5" s="8" t="n">
        <f aca="false">INTERCEPT($G$2:$G$61,$A$2:$A$61)+SLOPE($G$2:$G$61,$A$2:$A$61)*A5</f>
        <v>16.7158039548023</v>
      </c>
      <c r="S5" s="8" t="n">
        <f aca="false">G5-R5</f>
        <v>14.8651960451977</v>
      </c>
      <c r="T5" s="8" t="n">
        <f aca="false">ABS(S5)</f>
        <v>14.8651960451977</v>
      </c>
      <c r="U5" s="10" t="n">
        <f aca="false">IFERROR((S5-AVERAGE($S$2:$S$61))/stdev.s($S$2:$S$61),"")</f>
        <v>1.32610322955199</v>
      </c>
      <c r="V5" s="6" t="str">
        <f aca="false">IF(ABS(U5)&gt;=Source!$B$10,"Anomaly","")</f>
        <v/>
      </c>
      <c r="W5" s="8" t="str">
        <f aca="false">IF(A5&lt;=12,"",G5-INDEX($G:$G,ROW()-12))</f>
        <v/>
      </c>
      <c r="X5" s="6" t="str">
        <f aca="false">IF(C5=2019,"Baseline",IF(C5&lt;=2021,"COVID shock",IF(C5=2022,"Reopening","Recovery")))</f>
        <v>Baseline</v>
      </c>
      <c r="Y5" s="9" t="n">
        <f aca="false">IFERROR(ABS(S5/G5),"")</f>
        <v>0.470700612558112</v>
      </c>
    </row>
    <row r="6" customFormat="false" ht="15" hidden="false" customHeight="false" outlineLevel="0" collapsed="false">
      <c r="A6" s="6" t="n">
        <v>5</v>
      </c>
      <c r="B6" s="7" t="n">
        <v>43586</v>
      </c>
      <c r="C6" s="6" t="n">
        <f aca="false">YEAR(B6)</f>
        <v>2019</v>
      </c>
      <c r="D6" s="6" t="n">
        <f aca="false">MONTH(B6)</f>
        <v>5</v>
      </c>
      <c r="E6" s="6" t="str">
        <f aca="false">TEXT(B6,"mmm")</f>
        <v>May</v>
      </c>
      <c r="F6" s="6" t="s">
        <v>8</v>
      </c>
      <c r="G6" s="8" t="n">
        <v>29.354</v>
      </c>
      <c r="H6" s="8" t="n">
        <f aca="false">IFERROR(LN(G6),"")</f>
        <v>3.37942882318901</v>
      </c>
      <c r="I6" s="8" t="n">
        <f aca="false">IF(A6=1,"",G6-G5)</f>
        <v>-2.227</v>
      </c>
      <c r="J6" s="9" t="str">
        <f aca="false">IFERROR(G6/INDEX($G:$G,MATCH(DATE(C6-1,D6,1),$B:$B,0))-1,"")</f>
        <v/>
      </c>
      <c r="K6" s="8" t="n">
        <f aca="false">AVERAGE(G4:G6)</f>
        <v>30.9733333333333</v>
      </c>
      <c r="L6" s="8" t="str">
        <f aca="false">""</f>
        <v/>
      </c>
      <c r="M6" s="8" t="str">
        <f aca="false">""</f>
        <v/>
      </c>
      <c r="N6" s="8" t="str">
        <f aca="false">""</f>
        <v/>
      </c>
      <c r="O6" s="9" t="n">
        <f aca="false">IFERROR(G6/G6,"")</f>
        <v>1</v>
      </c>
      <c r="P6" s="8" t="n">
        <f aca="false">AVERAGEIFS($G:$G,$D:$D,D6,$C:$C,"&lt;="&amp;Source!$B$8)-AVERAGEIFS($G:$G,$C:$C,"&lt;="&amp;Source!$B$8)</f>
        <v>-1.74611666666667</v>
      </c>
      <c r="Q6" s="8" t="n">
        <f aca="false">G6-P6</f>
        <v>31.1001166666667</v>
      </c>
      <c r="R6" s="8" t="n">
        <f aca="false">INTERCEPT($G$2:$G$61,$A$2:$A$61)+SLOPE($G$2:$G$61,$A$2:$A$61)*A6</f>
        <v>16.5748497175141</v>
      </c>
      <c r="S6" s="8" t="n">
        <f aca="false">G6-R6</f>
        <v>12.7791502824859</v>
      </c>
      <c r="T6" s="8" t="n">
        <f aca="false">ABS(S6)</f>
        <v>12.7791502824859</v>
      </c>
      <c r="U6" s="10" t="n">
        <f aca="false">IFERROR((S6-AVERAGE($S$2:$S$61))/stdev.s($S$2:$S$61),"")</f>
        <v>1.14001002132827</v>
      </c>
      <c r="V6" s="6" t="str">
        <f aca="false">IF(ABS(U6)&gt;=Source!$B$10,"Anomaly","")</f>
        <v/>
      </c>
      <c r="W6" s="8" t="str">
        <f aca="false">IF(A6&lt;=12,"",G6-INDEX($G:$G,ROW()-12))</f>
        <v/>
      </c>
      <c r="X6" s="6" t="str">
        <f aca="false">IF(C6=2019,"Baseline",IF(C6&lt;=2021,"COVID shock",IF(C6=2022,"Reopening","Recovery")))</f>
        <v>Baseline</v>
      </c>
      <c r="Y6" s="9" t="n">
        <f aca="false">IFERROR(ABS(S6/G6),"")</f>
        <v>0.435346129402667</v>
      </c>
    </row>
    <row r="7" customFormat="false" ht="15" hidden="false" customHeight="false" outlineLevel="0" collapsed="false">
      <c r="A7" s="6" t="n">
        <v>6</v>
      </c>
      <c r="B7" s="7" t="n">
        <v>43617</v>
      </c>
      <c r="C7" s="6" t="n">
        <f aca="false">YEAR(B7)</f>
        <v>2019</v>
      </c>
      <c r="D7" s="6" t="n">
        <f aca="false">MONTH(B7)</f>
        <v>6</v>
      </c>
      <c r="E7" s="6" t="str">
        <f aca="false">TEXT(B7,"mmm")</f>
        <v>Jun</v>
      </c>
      <c r="F7" s="6" t="s">
        <v>8</v>
      </c>
      <c r="G7" s="8" t="n">
        <v>29.556</v>
      </c>
      <c r="H7" s="8" t="n">
        <f aca="false">IFERROR(LN(G7),"")</f>
        <v>3.3862867689264</v>
      </c>
      <c r="I7" s="8" t="n">
        <f aca="false">IF(A7=1,"",G7-G6)</f>
        <v>0.202000000000002</v>
      </c>
      <c r="J7" s="9" t="str">
        <f aca="false">IFERROR(G7/INDEX($G:$G,MATCH(DATE(C7-1,D7,1),$B:$B,0))-1,"")</f>
        <v/>
      </c>
      <c r="K7" s="8" t="n">
        <f aca="false">AVERAGE(G5:G7)</f>
        <v>30.1636666666667</v>
      </c>
      <c r="L7" s="8" t="n">
        <f aca="false">AVERAGE(G2:G7)</f>
        <v>30.619</v>
      </c>
      <c r="M7" s="8" t="str">
        <f aca="false">""</f>
        <v/>
      </c>
      <c r="N7" s="8" t="str">
        <f aca="false">""</f>
        <v/>
      </c>
      <c r="O7" s="9" t="n">
        <f aca="false">IFERROR(G7/G7,"")</f>
        <v>1</v>
      </c>
      <c r="P7" s="8" t="n">
        <f aca="false">AVERAGEIFS($G:$G,$D:$D,D7,$C:$C,"&lt;="&amp;Source!$B$8)-AVERAGEIFS($G:$G,$C:$C,"&lt;="&amp;Source!$B$8)</f>
        <v>-1.10571666666667</v>
      </c>
      <c r="Q7" s="8" t="n">
        <f aca="false">G7-P7</f>
        <v>30.6617166666667</v>
      </c>
      <c r="R7" s="8" t="n">
        <f aca="false">INTERCEPT($G$2:$G$61,$A$2:$A$61)+SLOPE($G$2:$G$61,$A$2:$A$61)*A7</f>
        <v>16.433895480226</v>
      </c>
      <c r="S7" s="8" t="n">
        <f aca="false">G7-R7</f>
        <v>13.122104519774</v>
      </c>
      <c r="T7" s="8" t="n">
        <f aca="false">ABS(S7)</f>
        <v>13.122104519774</v>
      </c>
      <c r="U7" s="10" t="n">
        <f aca="false">IFERROR((S7-AVERAGE($S$2:$S$61))/stdev.s($S$2:$S$61),"")</f>
        <v>1.17060448643142</v>
      </c>
      <c r="V7" s="6" t="str">
        <f aca="false">IF(ABS(U7)&gt;=Source!$B$10,"Anomaly","")</f>
        <v/>
      </c>
      <c r="W7" s="8" t="str">
        <f aca="false">IF(A7&lt;=12,"",G7-INDEX($G:$G,ROW()-12))</f>
        <v/>
      </c>
      <c r="X7" s="6" t="str">
        <f aca="false">IF(C7=2019,"Baseline",IF(C7&lt;=2021,"COVID shock",IF(C7=2022,"Reopening","Recovery")))</f>
        <v>Baseline</v>
      </c>
      <c r="Y7" s="9" t="n">
        <f aca="false">IFERROR(ABS(S7/G7),"")</f>
        <v>0.443974303687035</v>
      </c>
    </row>
    <row r="8" customFormat="false" ht="15" hidden="false" customHeight="false" outlineLevel="0" collapsed="false">
      <c r="A8" s="6" t="n">
        <v>7</v>
      </c>
      <c r="B8" s="7" t="n">
        <v>43647</v>
      </c>
      <c r="C8" s="6" t="n">
        <f aca="false">YEAR(B8)</f>
        <v>2019</v>
      </c>
      <c r="D8" s="6" t="n">
        <f aca="false">MONTH(B8)</f>
        <v>7</v>
      </c>
      <c r="E8" s="6" t="str">
        <f aca="false">TEXT(B8,"mmm")</f>
        <v>Jul</v>
      </c>
      <c r="F8" s="6" t="s">
        <v>8</v>
      </c>
      <c r="G8" s="8" t="n">
        <v>30.872</v>
      </c>
      <c r="H8" s="8" t="n">
        <f aca="false">IFERROR(LN(G8),"")</f>
        <v>3.42984962423532</v>
      </c>
      <c r="I8" s="8" t="n">
        <f aca="false">IF(A8=1,"",G8-G7)</f>
        <v>1.316</v>
      </c>
      <c r="J8" s="9" t="str">
        <f aca="false">IFERROR(G8/INDEX($G:$G,MATCH(DATE(C8-1,D8,1),$B:$B,0))-1,"")</f>
        <v/>
      </c>
      <c r="K8" s="8" t="n">
        <f aca="false">AVERAGE(G6:G8)</f>
        <v>29.9273333333333</v>
      </c>
      <c r="L8" s="8" t="n">
        <f aca="false">AVERAGE(G3:G8)</f>
        <v>30.619</v>
      </c>
      <c r="M8" s="8" t="str">
        <f aca="false">""</f>
        <v/>
      </c>
      <c r="N8" s="8" t="n">
        <f aca="false">AVERAGE(G3:G14)</f>
        <v>30.0259166666667</v>
      </c>
      <c r="O8" s="9" t="n">
        <f aca="false">IFERROR(G8/G8,"")</f>
        <v>1</v>
      </c>
      <c r="P8" s="8" t="n">
        <f aca="false">AVERAGEIFS($G:$G,$D:$D,D8,$C:$C,"&lt;="&amp;Source!$B$8)-AVERAGEIFS($G:$G,$C:$C,"&lt;="&amp;Source!$B$8)</f>
        <v>0.120483333333333</v>
      </c>
      <c r="Q8" s="8" t="n">
        <f aca="false">G8-P8</f>
        <v>30.7515166666667</v>
      </c>
      <c r="R8" s="8" t="n">
        <f aca="false">INTERCEPT($G$2:$G$61,$A$2:$A$61)+SLOPE($G$2:$G$61,$A$2:$A$61)*A8</f>
        <v>16.2929412429379</v>
      </c>
      <c r="S8" s="8" t="n">
        <f aca="false">G8-R8</f>
        <v>14.5790587570621</v>
      </c>
      <c r="T8" s="8" t="n">
        <f aca="false">ABS(S8)</f>
        <v>14.5790587570621</v>
      </c>
      <c r="U8" s="10" t="n">
        <f aca="false">IFERROR((S8-AVERAGE($S$2:$S$61))/stdev.s($S$2:$S$61),"")</f>
        <v>1.30057732456304</v>
      </c>
      <c r="V8" s="6" t="str">
        <f aca="false">IF(ABS(U8)&gt;=Source!$B$10,"Anomaly","")</f>
        <v/>
      </c>
      <c r="W8" s="8" t="str">
        <f aca="false">IF(A8&lt;=12,"",G8-INDEX($G:$G,ROW()-12))</f>
        <v/>
      </c>
      <c r="X8" s="6" t="str">
        <f aca="false">IF(C8=2019,"Baseline",IF(C8&lt;=2021,"COVID shock",IF(C8=2022,"Reopening","Recovery")))</f>
        <v>Baseline</v>
      </c>
      <c r="Y8" s="9" t="n">
        <f aca="false">IFERROR(ABS(S8/G8),"")</f>
        <v>0.472242120920645</v>
      </c>
    </row>
    <row r="9" customFormat="false" ht="15" hidden="false" customHeight="false" outlineLevel="0" collapsed="false">
      <c r="A9" s="6" t="n">
        <v>8</v>
      </c>
      <c r="B9" s="7" t="n">
        <v>43678</v>
      </c>
      <c r="C9" s="6" t="n">
        <f aca="false">YEAR(B9)</f>
        <v>2019</v>
      </c>
      <c r="D9" s="6" t="n">
        <f aca="false">MONTH(B9)</f>
        <v>8</v>
      </c>
      <c r="E9" s="6" t="str">
        <f aca="false">TEXT(B9,"mmm")</f>
        <v>Aug</v>
      </c>
      <c r="F9" s="6" t="s">
        <v>8</v>
      </c>
      <c r="G9" s="8" t="n">
        <v>30.366</v>
      </c>
      <c r="H9" s="8" t="n">
        <f aca="false">IFERROR(LN(G9),"")</f>
        <v>3.41332356146</v>
      </c>
      <c r="I9" s="8" t="n">
        <f aca="false">IF(A9=1,"",G9-G8)</f>
        <v>-0.506</v>
      </c>
      <c r="J9" s="9" t="str">
        <f aca="false">IFERROR(G9/INDEX($G:$G,MATCH(DATE(C9-1,D9,1),$B:$B,0))-1,"")</f>
        <v/>
      </c>
      <c r="K9" s="8" t="n">
        <f aca="false">AVERAGE(G7:G9)</f>
        <v>30.2646666666667</v>
      </c>
      <c r="L9" s="8" t="n">
        <f aca="false">AVERAGE(G4:G9)</f>
        <v>30.619</v>
      </c>
      <c r="M9" s="8" t="str">
        <f aca="false">""</f>
        <v/>
      </c>
      <c r="N9" s="8" t="n">
        <f aca="false">AVERAGE(G4:G15)</f>
        <v>28.8418333333333</v>
      </c>
      <c r="O9" s="9" t="n">
        <f aca="false">IFERROR(G9/G9,"")</f>
        <v>1</v>
      </c>
      <c r="P9" s="8" t="n">
        <f aca="false">AVERAGEIFS($G:$G,$D:$D,D9,$C:$C,"&lt;="&amp;Source!$B$8)-AVERAGEIFS($G:$G,$C:$C,"&lt;="&amp;Source!$B$8)</f>
        <v>0.269483333333334</v>
      </c>
      <c r="Q9" s="8" t="n">
        <f aca="false">G9-P9</f>
        <v>30.0965166666667</v>
      </c>
      <c r="R9" s="8" t="n">
        <f aca="false">INTERCEPT($G$2:$G$61,$A$2:$A$61)+SLOPE($G$2:$G$61,$A$2:$A$61)*A9</f>
        <v>16.1519870056497</v>
      </c>
      <c r="S9" s="8" t="n">
        <f aca="false">G9-R9</f>
        <v>14.2140129943503</v>
      </c>
      <c r="T9" s="8" t="n">
        <f aca="false">ABS(S9)</f>
        <v>14.2140129943503</v>
      </c>
      <c r="U9" s="10" t="n">
        <f aca="false">IFERROR((S9-AVERAGE($S$2:$S$61))/stdev.s($S$2:$S$61),"")</f>
        <v>1.26801210555116</v>
      </c>
      <c r="V9" s="6" t="str">
        <f aca="false">IF(ABS(U9)&gt;=Source!$B$10,"Anomaly","")</f>
        <v/>
      </c>
      <c r="W9" s="8" t="str">
        <f aca="false">IF(A9&lt;=12,"",G9-INDEX($G:$G,ROW()-12))</f>
        <v/>
      </c>
      <c r="X9" s="6" t="str">
        <f aca="false">IF(C9=2019,"Baseline",IF(C9&lt;=2021,"COVID shock",IF(C9=2022,"Reopening","Recovery")))</f>
        <v>Baseline</v>
      </c>
      <c r="Y9" s="9" t="n">
        <f aca="false">IFERROR(ABS(S9/G9),"")</f>
        <v>0.468089738337295</v>
      </c>
    </row>
    <row r="10" customFormat="false" ht="15" hidden="false" customHeight="false" outlineLevel="0" collapsed="false">
      <c r="A10" s="6" t="n">
        <v>9</v>
      </c>
      <c r="B10" s="7" t="n">
        <v>43709</v>
      </c>
      <c r="C10" s="6" t="n">
        <f aca="false">YEAR(B10)</f>
        <v>2019</v>
      </c>
      <c r="D10" s="6" t="n">
        <f aca="false">MONTH(B10)</f>
        <v>9</v>
      </c>
      <c r="E10" s="6" t="str">
        <f aca="false">TEXT(B10,"mmm")</f>
        <v>Sep</v>
      </c>
      <c r="F10" s="6" t="s">
        <v>8</v>
      </c>
      <c r="G10" s="8" t="n">
        <v>27.127</v>
      </c>
      <c r="H10" s="8" t="n">
        <f aca="false">IFERROR(LN(G10),"")</f>
        <v>3.30052954186139</v>
      </c>
      <c r="I10" s="8" t="n">
        <f aca="false">IF(A10=1,"",G10-G9)</f>
        <v>-3.239</v>
      </c>
      <c r="J10" s="9" t="str">
        <f aca="false">IFERROR(G10/INDEX($G:$G,MATCH(DATE(C10-1,D10,1),$B:$B,0))-1,"")</f>
        <v/>
      </c>
      <c r="K10" s="8" t="n">
        <f aca="false">AVERAGE(G8:G10)</f>
        <v>29.455</v>
      </c>
      <c r="L10" s="8" t="n">
        <f aca="false">AVERAGE(G5:G10)</f>
        <v>29.8093333333333</v>
      </c>
      <c r="M10" s="8" t="str">
        <f aca="false">""</f>
        <v/>
      </c>
      <c r="N10" s="8" t="n">
        <f aca="false">AVERAGE(G5:G16)</f>
        <v>26.49325</v>
      </c>
      <c r="O10" s="9" t="n">
        <f aca="false">IFERROR(G10/G10,"")</f>
        <v>1</v>
      </c>
      <c r="P10" s="8" t="n">
        <f aca="false">AVERAGEIFS($G:$G,$D:$D,D10,$C:$C,"&lt;="&amp;Source!$B$8)-AVERAGEIFS($G:$G,$C:$C,"&lt;="&amp;Source!$B$8)</f>
        <v>-0.812516666666667</v>
      </c>
      <c r="Q10" s="8" t="n">
        <f aca="false">G10-P10</f>
        <v>27.9395166666667</v>
      </c>
      <c r="R10" s="8" t="n">
        <f aca="false">INTERCEPT($G$2:$G$61,$A$2:$A$61)+SLOPE($G$2:$G$61,$A$2:$A$61)*A10</f>
        <v>16.0110327683616</v>
      </c>
      <c r="S10" s="8" t="n">
        <f aca="false">G10-R10</f>
        <v>11.1159672316384</v>
      </c>
      <c r="T10" s="8" t="n">
        <f aca="false">ABS(S10)</f>
        <v>11.1159672316384</v>
      </c>
      <c r="U10" s="10" t="n">
        <f aca="false">IFERROR((S10-AVERAGE($S$2:$S$61))/stdev.s($S$2:$S$61),"")</f>
        <v>0.991639800824015</v>
      </c>
      <c r="V10" s="6" t="str">
        <f aca="false">IF(ABS(U10)&gt;=Source!$B$10,"Anomaly","")</f>
        <v/>
      </c>
      <c r="W10" s="8" t="str">
        <f aca="false">IF(A10&lt;=12,"",G10-INDEX($G:$G,ROW()-12))</f>
        <v/>
      </c>
      <c r="X10" s="6" t="str">
        <f aca="false">IF(C10=2019,"Baseline",IF(C10&lt;=2021,"COVID shock",IF(C10=2022,"Reopening","Recovery")))</f>
        <v>Baseline</v>
      </c>
      <c r="Y10" s="9" t="n">
        <f aca="false">IFERROR(ABS(S10/G10),"")</f>
        <v>0.409775029735629</v>
      </c>
    </row>
    <row r="11" customFormat="false" ht="15" hidden="false" customHeight="false" outlineLevel="0" collapsed="false">
      <c r="A11" s="6" t="n">
        <v>10</v>
      </c>
      <c r="B11" s="7" t="n">
        <v>43739</v>
      </c>
      <c r="C11" s="6" t="n">
        <f aca="false">YEAR(B11)</f>
        <v>2019</v>
      </c>
      <c r="D11" s="6" t="n">
        <f aca="false">MONTH(B11)</f>
        <v>10</v>
      </c>
      <c r="E11" s="6" t="str">
        <f aca="false">TEXT(B11,"mmm")</f>
        <v>Oct</v>
      </c>
      <c r="F11" s="6" t="s">
        <v>8</v>
      </c>
      <c r="G11" s="8" t="n">
        <v>29.354</v>
      </c>
      <c r="H11" s="8" t="n">
        <f aca="false">IFERROR(LN(G11),"")</f>
        <v>3.37942882318901</v>
      </c>
      <c r="I11" s="8" t="n">
        <f aca="false">IF(A11=1,"",G11-G10)</f>
        <v>2.227</v>
      </c>
      <c r="J11" s="9" t="str">
        <f aca="false">IFERROR(G11/INDEX($G:$G,MATCH(DATE(C11-1,D11,1),$B:$B,0))-1,"")</f>
        <v/>
      </c>
      <c r="K11" s="8" t="n">
        <f aca="false">AVERAGE(G9:G11)</f>
        <v>28.949</v>
      </c>
      <c r="L11" s="8" t="n">
        <f aca="false">AVERAGE(G6:G11)</f>
        <v>29.4381666666667</v>
      </c>
      <c r="M11" s="8" t="str">
        <f aca="false">""</f>
        <v/>
      </c>
      <c r="N11" s="8" t="n">
        <f aca="false">AVERAGE(G6:G17)</f>
        <v>23.9406666666667</v>
      </c>
      <c r="O11" s="9" t="n">
        <f aca="false">IFERROR(G11/G11,"")</f>
        <v>1</v>
      </c>
      <c r="P11" s="8" t="n">
        <f aca="false">AVERAGEIFS($G:$G,$D:$D,D11,$C:$C,"&lt;="&amp;Source!$B$8)-AVERAGEIFS($G:$G,$C:$C,"&lt;="&amp;Source!$B$8)</f>
        <v>0.087883333333334</v>
      </c>
      <c r="Q11" s="8" t="n">
        <f aca="false">G11-P11</f>
        <v>29.2661166666667</v>
      </c>
      <c r="R11" s="8" t="n">
        <f aca="false">INTERCEPT($G$2:$G$61,$A$2:$A$61)+SLOPE($G$2:$G$61,$A$2:$A$61)*A11</f>
        <v>15.8700785310734</v>
      </c>
      <c r="S11" s="8" t="n">
        <f aca="false">G11-R11</f>
        <v>13.4839214689266</v>
      </c>
      <c r="T11" s="8" t="n">
        <f aca="false">ABS(S11)</f>
        <v>13.4839214689266</v>
      </c>
      <c r="U11" s="10" t="n">
        <f aca="false">IFERROR((S11-AVERAGE($S$2:$S$61))/stdev.s($S$2:$S$61),"")</f>
        <v>1.20288166752739</v>
      </c>
      <c r="V11" s="6" t="str">
        <f aca="false">IF(ABS(U11)&gt;=Source!$B$10,"Anomaly","")</f>
        <v/>
      </c>
      <c r="W11" s="8" t="str">
        <f aca="false">IF(A11&lt;=12,"",G11-INDEX($G:$G,ROW()-12))</f>
        <v/>
      </c>
      <c r="X11" s="6" t="str">
        <f aca="false">IF(C11=2019,"Baseline",IF(C11&lt;=2021,"COVID shock",IF(C11=2022,"Reopening","Recovery")))</f>
        <v>Baseline</v>
      </c>
      <c r="Y11" s="9" t="n">
        <f aca="false">IFERROR(ABS(S11/G11),"")</f>
        <v>0.459355504153661</v>
      </c>
    </row>
    <row r="12" customFormat="false" ht="15" hidden="false" customHeight="false" outlineLevel="0" collapsed="false">
      <c r="A12" s="6" t="n">
        <v>11</v>
      </c>
      <c r="B12" s="7" t="n">
        <v>43770</v>
      </c>
      <c r="C12" s="6" t="n">
        <f aca="false">YEAR(B12)</f>
        <v>2019</v>
      </c>
      <c r="D12" s="6" t="n">
        <f aca="false">MONTH(B12)</f>
        <v>11</v>
      </c>
      <c r="E12" s="6" t="str">
        <f aca="false">TEXT(B12,"mmm")</f>
        <v>Nov</v>
      </c>
      <c r="F12" s="6" t="s">
        <v>8</v>
      </c>
      <c r="G12" s="8" t="n">
        <v>29.556</v>
      </c>
      <c r="H12" s="8" t="n">
        <f aca="false">IFERROR(LN(G12),"")</f>
        <v>3.3862867689264</v>
      </c>
      <c r="I12" s="8" t="n">
        <f aca="false">IF(A12=1,"",G12-G11)</f>
        <v>0.202000000000002</v>
      </c>
      <c r="J12" s="9" t="str">
        <f aca="false">IFERROR(G12/INDEX($G:$G,MATCH(DATE(C12-1,D12,1),$B:$B,0))-1,"")</f>
        <v/>
      </c>
      <c r="K12" s="8" t="n">
        <f aca="false">AVERAGE(G10:G12)</f>
        <v>28.679</v>
      </c>
      <c r="L12" s="8" t="n">
        <f aca="false">AVERAGE(G7:G12)</f>
        <v>29.4718333333333</v>
      </c>
      <c r="M12" s="8" t="str">
        <f aca="false">""</f>
        <v/>
      </c>
      <c r="N12" s="8" t="n">
        <f aca="false">AVERAGE(G7:G18)</f>
        <v>21.5736666666667</v>
      </c>
      <c r="O12" s="9" t="n">
        <f aca="false">IFERROR(G12/G12,"")</f>
        <v>1</v>
      </c>
      <c r="P12" s="8" t="n">
        <f aca="false">AVERAGEIFS($G:$G,$D:$D,D12,$C:$C,"&lt;="&amp;Source!$B$8)-AVERAGEIFS($G:$G,$C:$C,"&lt;="&amp;Source!$B$8)</f>
        <v>0.672283333333333</v>
      </c>
      <c r="Q12" s="8" t="n">
        <f aca="false">G12-P12</f>
        <v>28.8837166666667</v>
      </c>
      <c r="R12" s="8" t="n">
        <f aca="false">INTERCEPT($G$2:$G$61,$A$2:$A$61)+SLOPE($G$2:$G$61,$A$2:$A$61)*A12</f>
        <v>15.7291242937853</v>
      </c>
      <c r="S12" s="8" t="n">
        <f aca="false">G12-R12</f>
        <v>13.8268757062147</v>
      </c>
      <c r="T12" s="8" t="n">
        <f aca="false">ABS(S12)</f>
        <v>13.8268757062147</v>
      </c>
      <c r="U12" s="10" t="n">
        <f aca="false">IFERROR((S12-AVERAGE($S$2:$S$61))/stdev.s($S$2:$S$61),"")</f>
        <v>1.23347613263054</v>
      </c>
      <c r="V12" s="6" t="str">
        <f aca="false">IF(ABS(U12)&gt;=Source!$B$10,"Anomaly","")</f>
        <v/>
      </c>
      <c r="W12" s="8" t="str">
        <f aca="false">IF(A12&lt;=12,"",G12-INDEX($G:$G,ROW()-12))</f>
        <v/>
      </c>
      <c r="X12" s="6" t="str">
        <f aca="false">IF(C12=2019,"Baseline",IF(C12&lt;=2021,"COVID shock",IF(C12=2022,"Reopening","Recovery")))</f>
        <v>Baseline</v>
      </c>
      <c r="Y12" s="9" t="n">
        <f aca="false">IFERROR(ABS(S12/G12),"")</f>
        <v>0.467819586757839</v>
      </c>
    </row>
    <row r="13" customFormat="false" ht="15" hidden="false" customHeight="false" outlineLevel="0" collapsed="false">
      <c r="A13" s="6" t="n">
        <v>12</v>
      </c>
      <c r="B13" s="7" t="n">
        <v>43800</v>
      </c>
      <c r="C13" s="6" t="n">
        <f aca="false">YEAR(B13)</f>
        <v>2019</v>
      </c>
      <c r="D13" s="6" t="n">
        <f aca="false">MONTH(B13)</f>
        <v>12</v>
      </c>
      <c r="E13" s="6" t="str">
        <f aca="false">TEXT(B13,"mmm")</f>
        <v>Dec</v>
      </c>
      <c r="F13" s="6" t="s">
        <v>8</v>
      </c>
      <c r="G13" s="8" t="n">
        <v>31.682</v>
      </c>
      <c r="H13" s="8" t="n">
        <f aca="false">IFERROR(LN(G13),"")</f>
        <v>3.45574869626666</v>
      </c>
      <c r="I13" s="8" t="n">
        <f aca="false">IF(A13=1,"",G13-G12)</f>
        <v>2.126</v>
      </c>
      <c r="J13" s="9" t="str">
        <f aca="false">IFERROR(G13/INDEX($G:$G,MATCH(DATE(C13-1,D13,1),$B:$B,0))-1,"")</f>
        <v/>
      </c>
      <c r="K13" s="8" t="n">
        <f aca="false">AVERAGE(G11:G13)</f>
        <v>30.1973333333333</v>
      </c>
      <c r="L13" s="8" t="n">
        <f aca="false">AVERAGE(G8:G13)</f>
        <v>29.8261666666667</v>
      </c>
      <c r="M13" s="8" t="n">
        <f aca="false">AVERAGE(G2:G13)</f>
        <v>30.2225833333333</v>
      </c>
      <c r="N13" s="8" t="n">
        <f aca="false">AVERAGE(G8:G19)</f>
        <v>19.1898333333333</v>
      </c>
      <c r="O13" s="9" t="n">
        <f aca="false">IFERROR(G13/G13,"")</f>
        <v>1</v>
      </c>
      <c r="P13" s="8" t="n">
        <f aca="false">AVERAGEIFS($G:$G,$D:$D,D13,$C:$C,"&lt;="&amp;Source!$B$8)-AVERAGEIFS($G:$G,$C:$C,"&lt;="&amp;Source!$B$8)</f>
        <v>2.62048333333333</v>
      </c>
      <c r="Q13" s="8" t="n">
        <f aca="false">G13-P13</f>
        <v>29.0615166666667</v>
      </c>
      <c r="R13" s="8" t="n">
        <f aca="false">INTERCEPT($G$2:$G$61,$A$2:$A$61)+SLOPE($G$2:$G$61,$A$2:$A$61)*A13</f>
        <v>15.5881700564972</v>
      </c>
      <c r="S13" s="8" t="n">
        <f aca="false">G13-R13</f>
        <v>16.0938299435028</v>
      </c>
      <c r="T13" s="8" t="n">
        <f aca="false">ABS(S13)</f>
        <v>16.0938299435028</v>
      </c>
      <c r="U13" s="10" t="n">
        <f aca="false">IFERROR((S13-AVERAGE($S$2:$S$61))/stdev.s($S$2:$S$61),"")</f>
        <v>1.43570793140224</v>
      </c>
      <c r="V13" s="6" t="str">
        <f aca="false">IF(ABS(U13)&gt;=Source!$B$10,"Anomaly","")</f>
        <v/>
      </c>
      <c r="W13" s="8" t="str">
        <f aca="false">IF(A13&lt;=12,"",G13-INDEX($G:$G,ROW()-12))</f>
        <v/>
      </c>
      <c r="X13" s="6" t="str">
        <f aca="false">IF(C13=2019,"Baseline",IF(C13&lt;=2021,"COVID shock",IF(C13=2022,"Reopening","Recovery")))</f>
        <v>Baseline</v>
      </c>
      <c r="Y13" s="9" t="n">
        <f aca="false">IFERROR(ABS(S13/G13),"")</f>
        <v>0.507980239363135</v>
      </c>
    </row>
    <row r="14" customFormat="false" ht="15" hidden="false" customHeight="false" outlineLevel="0" collapsed="false">
      <c r="A14" s="6" t="n">
        <v>13</v>
      </c>
      <c r="B14" s="7" t="n">
        <v>43831</v>
      </c>
      <c r="C14" s="6" t="n">
        <f aca="false">YEAR(B14)</f>
        <v>2020</v>
      </c>
      <c r="D14" s="6" t="n">
        <f aca="false">MONTH(B14)</f>
        <v>1</v>
      </c>
      <c r="E14" s="6" t="str">
        <f aca="false">TEXT(B14,"mmm")</f>
        <v>Jan</v>
      </c>
      <c r="F14" s="6" t="s">
        <v>8</v>
      </c>
      <c r="G14" s="8" t="n">
        <v>28.512</v>
      </c>
      <c r="H14" s="8" t="n">
        <f aca="false">IFERROR(LN(G14),"")</f>
        <v>3.3503250512884</v>
      </c>
      <c r="I14" s="8" t="n">
        <f aca="false">IF(A14=1,"",G14-G13)</f>
        <v>-3.17</v>
      </c>
      <c r="J14" s="9" t="n">
        <f aca="false">IFERROR(G14/INDEX($G:$G,MATCH(DATE(C14-1,D14,1),$B:$B,0))-1,"")</f>
        <v>-0.076444674786214</v>
      </c>
      <c r="K14" s="8" t="n">
        <f aca="false">AVERAGE(G12:G14)</f>
        <v>29.9166666666667</v>
      </c>
      <c r="L14" s="8" t="n">
        <f aca="false">AVERAGE(G9:G14)</f>
        <v>29.4328333333333</v>
      </c>
      <c r="M14" s="8" t="n">
        <f aca="false">AVERAGE(G3:G14)</f>
        <v>30.0259166666667</v>
      </c>
      <c r="N14" s="8" t="n">
        <f aca="false">AVERAGE(G9:G20)</f>
        <v>16.736</v>
      </c>
      <c r="O14" s="9" t="n">
        <f aca="false">IFERROR(G14/G2,"")</f>
        <v>0.923555325213786</v>
      </c>
      <c r="P14" s="8" t="n">
        <f aca="false">AVERAGEIFS($G:$G,$D:$D,D14,$C:$C,"&lt;="&amp;Source!$B$8)-AVERAGEIFS($G:$G,$C:$C,"&lt;="&amp;Source!$B$8)</f>
        <v>2.60408333333333</v>
      </c>
      <c r="Q14" s="8" t="n">
        <f aca="false">G14-P14</f>
        <v>25.9079166666667</v>
      </c>
      <c r="R14" s="8" t="n">
        <f aca="false">INTERCEPT($G$2:$G$61,$A$2:$A$61)+SLOPE($G$2:$G$61,$A$2:$A$61)*A14</f>
        <v>15.447215819209</v>
      </c>
      <c r="S14" s="8" t="n">
        <f aca="false">G14-R14</f>
        <v>13.064784180791</v>
      </c>
      <c r="T14" s="8" t="n">
        <f aca="false">ABS(S14)</f>
        <v>13.064784180791</v>
      </c>
      <c r="U14" s="10" t="n">
        <f aca="false">IFERROR((S14-AVERAGE($S$2:$S$61))/stdev.s($S$2:$S$61),"")</f>
        <v>1.16549101961852</v>
      </c>
      <c r="V14" s="6" t="str">
        <f aca="false">IF(ABS(U14)&gt;=Source!$B$10,"Anomaly","")</f>
        <v/>
      </c>
      <c r="W14" s="8" t="n">
        <f aca="false">IF(A14&lt;=12,"",G14-INDEX($G:$G,ROW()-12))</f>
        <v>-2.36</v>
      </c>
      <c r="X14" s="6" t="str">
        <f aca="false">IF(C14=2019,"Baseline",IF(C14&lt;=2021,"COVID shock",IF(C14=2022,"Reopening","Recovery")))</f>
        <v>COVID shock</v>
      </c>
      <c r="Y14" s="9" t="n">
        <f aca="false">IFERROR(ABS(S14/G14),"")</f>
        <v>0.458220545061411</v>
      </c>
    </row>
    <row r="15" customFormat="false" ht="15" hidden="false" customHeight="false" outlineLevel="0" collapsed="false">
      <c r="A15" s="6" t="n">
        <v>14</v>
      </c>
      <c r="B15" s="7" t="n">
        <v>43862</v>
      </c>
      <c r="C15" s="6" t="n">
        <f aca="false">YEAR(B15)</f>
        <v>2020</v>
      </c>
      <c r="D15" s="6" t="n">
        <f aca="false">MONTH(B15)</f>
        <v>2</v>
      </c>
      <c r="E15" s="6" t="str">
        <f aca="false">TEXT(B15,"mmm")</f>
        <v>Feb</v>
      </c>
      <c r="F15" s="6" t="s">
        <v>8</v>
      </c>
      <c r="G15" s="8" t="n">
        <v>16.157</v>
      </c>
      <c r="H15" s="8" t="n">
        <f aca="false">IFERROR(LN(G15),"")</f>
        <v>2.78235339229469</v>
      </c>
      <c r="I15" s="8" t="n">
        <f aca="false">IF(A15=1,"",G15-G14)</f>
        <v>-12.355</v>
      </c>
      <c r="J15" s="9" t="n">
        <f aca="false">IFERROR(G15/INDEX($G:$G,MATCH(DATE(C15-1,D15,1),$B:$B,0))-1,"")</f>
        <v>-0.467924652571955</v>
      </c>
      <c r="K15" s="8" t="n">
        <f aca="false">AVERAGE(G13:G15)</f>
        <v>25.4503333333333</v>
      </c>
      <c r="L15" s="8" t="n">
        <f aca="false">AVERAGE(G10:G15)</f>
        <v>27.0646666666667</v>
      </c>
      <c r="M15" s="8" t="n">
        <f aca="false">AVERAGE(G4:G15)</f>
        <v>28.8418333333333</v>
      </c>
      <c r="N15" s="8" t="n">
        <f aca="false">AVERAGE(G10:G21)</f>
        <v>14.4035</v>
      </c>
      <c r="O15" s="9" t="n">
        <f aca="false">IFERROR(G15/G3,"")</f>
        <v>0.532075347428045</v>
      </c>
      <c r="P15" s="8" t="n">
        <f aca="false">AVERAGEIFS($G:$G,$D:$D,D15,$C:$C,"&lt;="&amp;Source!$B$8)-AVERAGEIFS($G:$G,$C:$C,"&lt;="&amp;Source!$B$8)</f>
        <v>0.254283333333332</v>
      </c>
      <c r="Q15" s="8" t="n">
        <f aca="false">G15-P15</f>
        <v>15.9027166666667</v>
      </c>
      <c r="R15" s="8" t="n">
        <f aca="false">INTERCEPT($G$2:$G$61,$A$2:$A$61)+SLOPE($G$2:$G$61,$A$2:$A$61)*A15</f>
        <v>15.3062615819209</v>
      </c>
      <c r="S15" s="8" t="n">
        <f aca="false">G15-R15</f>
        <v>0.850738418079098</v>
      </c>
      <c r="T15" s="8" t="n">
        <f aca="false">ABS(S15)</f>
        <v>0.850738418079098</v>
      </c>
      <c r="U15" s="10" t="n">
        <f aca="false">IFERROR((S15-AVERAGE($S$2:$S$61))/stdev.s($S$2:$S$61),"")</f>
        <v>0.0758931776135641</v>
      </c>
      <c r="V15" s="6" t="str">
        <f aca="false">IF(ABS(U15)&gt;=Source!$B$10,"Anomaly","")</f>
        <v/>
      </c>
      <c r="W15" s="8" t="n">
        <f aca="false">IF(A15&lt;=12,"",G15-INDEX($G:$G,ROW()-12))</f>
        <v>-14.209</v>
      </c>
      <c r="X15" s="6" t="str">
        <f aca="false">IF(C15=2019,"Baseline",IF(C15&lt;=2021,"COVID shock",IF(C15=2022,"Reopening","Recovery")))</f>
        <v>COVID shock</v>
      </c>
      <c r="Y15" s="9" t="n">
        <f aca="false">IFERROR(ABS(S15/G15),"")</f>
        <v>0.0526544790542241</v>
      </c>
    </row>
    <row r="16" customFormat="false" ht="15" hidden="false" customHeight="false" outlineLevel="0" collapsed="false">
      <c r="A16" s="6" t="n">
        <v>15</v>
      </c>
      <c r="B16" s="7" t="n">
        <v>43891</v>
      </c>
      <c r="C16" s="6" t="n">
        <f aca="false">YEAR(B16)</f>
        <v>2020</v>
      </c>
      <c r="D16" s="6" t="n">
        <f aca="false">MONTH(B16)</f>
        <v>3</v>
      </c>
      <c r="E16" s="6" t="str">
        <f aca="false">TEXT(B16,"mmm")</f>
        <v>Mar</v>
      </c>
      <c r="F16" s="6" t="s">
        <v>8</v>
      </c>
      <c r="G16" s="8" t="n">
        <v>3.802</v>
      </c>
      <c r="H16" s="8" t="n">
        <f aca="false">IFERROR(LN(G16),"")</f>
        <v>1.33552724406624</v>
      </c>
      <c r="I16" s="8" t="n">
        <f aca="false">IF(A16=1,"",G16-G15)</f>
        <v>-12.355</v>
      </c>
      <c r="J16" s="9" t="n">
        <f aca="false">IFERROR(G16/INDEX($G:$G,MATCH(DATE(C16-1,D16,1),$B:$B,0))-1,"")</f>
        <v>-0.88113178052212</v>
      </c>
      <c r="K16" s="8" t="n">
        <f aca="false">AVERAGE(G14:G16)</f>
        <v>16.157</v>
      </c>
      <c r="L16" s="8" t="n">
        <f aca="false">AVERAGE(G11:G16)</f>
        <v>23.1771666666667</v>
      </c>
      <c r="M16" s="8" t="n">
        <f aca="false">AVERAGE(G5:G16)</f>
        <v>26.49325</v>
      </c>
      <c r="N16" s="8" t="n">
        <f aca="false">AVERAGE(G11:G22)</f>
        <v>12.3013333333333</v>
      </c>
      <c r="O16" s="9" t="n">
        <f aca="false">IFERROR(G16/G4,"")</f>
        <v>0.11886821947788</v>
      </c>
      <c r="P16" s="8" t="n">
        <f aca="false">AVERAGEIFS($G:$G,$D:$D,D16,$C:$C,"&lt;="&amp;Source!$B$8)-AVERAGEIFS($G:$G,$C:$C,"&lt;="&amp;Source!$B$8)</f>
        <v>-1.36531666666667</v>
      </c>
      <c r="Q16" s="8" t="n">
        <f aca="false">G16-P16</f>
        <v>5.16731666666667</v>
      </c>
      <c r="R16" s="8" t="n">
        <f aca="false">INTERCEPT($G$2:$G$61,$A$2:$A$61)+SLOPE($G$2:$G$61,$A$2:$A$61)*A16</f>
        <v>15.1653073446328</v>
      </c>
      <c r="S16" s="8" t="n">
        <f aca="false">G16-R16</f>
        <v>-11.3633073446328</v>
      </c>
      <c r="T16" s="8" t="n">
        <f aca="false">ABS(S16)</f>
        <v>11.3633073446328</v>
      </c>
      <c r="U16" s="10" t="n">
        <f aca="false">IFERROR((S16-AVERAGE($S$2:$S$61))/stdev.s($S$2:$S$61),"")</f>
        <v>-1.01370466439139</v>
      </c>
      <c r="V16" s="6" t="str">
        <f aca="false">IF(ABS(U16)&gt;=Source!$B$10,"Anomaly","")</f>
        <v/>
      </c>
      <c r="W16" s="8" t="n">
        <f aca="false">IF(A16&lt;=12,"",G16-INDEX($G:$G,ROW()-12))</f>
        <v>-28.183</v>
      </c>
      <c r="X16" s="6" t="str">
        <f aca="false">IF(C16=2019,"Baseline",IF(C16&lt;=2021,"COVID shock",IF(C16=2022,"Reopening","Recovery")))</f>
        <v>COVID shock</v>
      </c>
      <c r="Y16" s="9" t="n">
        <f aca="false">IFERROR(ABS(S16/G16),"")</f>
        <v>2.98877100069247</v>
      </c>
    </row>
    <row r="17" customFormat="false" ht="15" hidden="false" customHeight="false" outlineLevel="0" collapsed="false">
      <c r="A17" s="6" t="n">
        <v>16</v>
      </c>
      <c r="B17" s="7" t="n">
        <v>43922</v>
      </c>
      <c r="C17" s="6" t="n">
        <f aca="false">YEAR(B17)</f>
        <v>2020</v>
      </c>
      <c r="D17" s="6" t="n">
        <f aca="false">MONTH(B17)</f>
        <v>4</v>
      </c>
      <c r="E17" s="6" t="str">
        <f aca="false">TEXT(B17,"mmm")</f>
        <v>Apr</v>
      </c>
      <c r="F17" s="6" t="s">
        <v>8</v>
      </c>
      <c r="G17" s="8" t="n">
        <v>0.95</v>
      </c>
      <c r="H17" s="8" t="n">
        <f aca="false">IFERROR(LN(G17),"")</f>
        <v>-0.0512932943875506</v>
      </c>
      <c r="I17" s="8" t="n">
        <f aca="false">IF(A17=1,"",G17-G16)</f>
        <v>-2.852</v>
      </c>
      <c r="J17" s="9" t="n">
        <f aca="false">IFERROR(G17/INDEX($G:$G,MATCH(DATE(C17-1,D17,1),$B:$B,0))-1,"")</f>
        <v>-0.969918621956239</v>
      </c>
      <c r="K17" s="8" t="n">
        <f aca="false">AVERAGE(G15:G17)</f>
        <v>6.96966666666667</v>
      </c>
      <c r="L17" s="8" t="n">
        <f aca="false">AVERAGE(G12:G17)</f>
        <v>18.4431666666667</v>
      </c>
      <c r="M17" s="8" t="n">
        <f aca="false">AVERAGE(G6:G17)</f>
        <v>23.9406666666667</v>
      </c>
      <c r="N17" s="8" t="n">
        <f aca="false">AVERAGE(G12:G23)</f>
        <v>9.9185</v>
      </c>
      <c r="O17" s="9" t="n">
        <f aca="false">IFERROR(G17/G5,"")</f>
        <v>0.0300813780437605</v>
      </c>
      <c r="P17" s="8" t="n">
        <f aca="false">AVERAGEIFS($G:$G,$D:$D,D17,$C:$C,"&lt;="&amp;Source!$B$8)-AVERAGEIFS($G:$G,$C:$C,"&lt;="&amp;Source!$B$8)</f>
        <v>-1.59931666666667</v>
      </c>
      <c r="Q17" s="8" t="n">
        <f aca="false">G17-P17</f>
        <v>2.54931666666667</v>
      </c>
      <c r="R17" s="8" t="n">
        <f aca="false">INTERCEPT($G$2:$G$61,$A$2:$A$61)+SLOPE($G$2:$G$61,$A$2:$A$61)*A17</f>
        <v>15.0243531073446</v>
      </c>
      <c r="S17" s="8" t="n">
        <f aca="false">G17-R17</f>
        <v>-14.0743531073446</v>
      </c>
      <c r="T17" s="8" t="n">
        <f aca="false">ABS(S17)</f>
        <v>14.0743531073446</v>
      </c>
      <c r="U17" s="10" t="n">
        <f aca="false">IFERROR((S17-AVERAGE($S$2:$S$61))/stdev.s($S$2:$S$61),"")</f>
        <v>-1.25555324347938</v>
      </c>
      <c r="V17" s="6" t="str">
        <f aca="false">IF(ABS(U17)&gt;=Source!$B$10,"Anomaly","")</f>
        <v/>
      </c>
      <c r="W17" s="8" t="n">
        <f aca="false">IF(A17&lt;=12,"",G17-INDEX($G:$G,ROW()-12))</f>
        <v>-30.631</v>
      </c>
      <c r="X17" s="6" t="str">
        <f aca="false">IF(C17=2019,"Baseline",IF(C17&lt;=2021,"COVID shock",IF(C17=2022,"Reopening","Recovery")))</f>
        <v>COVID shock</v>
      </c>
      <c r="Y17" s="9" t="n">
        <f aca="false">IFERROR(ABS(S17/G17),"")</f>
        <v>14.815108534047</v>
      </c>
    </row>
    <row r="18" customFormat="false" ht="15" hidden="false" customHeight="false" outlineLevel="0" collapsed="false">
      <c r="A18" s="6" t="n">
        <v>17</v>
      </c>
      <c r="B18" s="7" t="n">
        <v>43952</v>
      </c>
      <c r="C18" s="6" t="n">
        <f aca="false">YEAR(B18)</f>
        <v>2020</v>
      </c>
      <c r="D18" s="6" t="n">
        <f aca="false">MONTH(B18)</f>
        <v>5</v>
      </c>
      <c r="E18" s="6" t="str">
        <f aca="false">TEXT(B18,"mmm")</f>
        <v>May</v>
      </c>
      <c r="F18" s="6" t="s">
        <v>8</v>
      </c>
      <c r="G18" s="8" t="n">
        <v>0.95</v>
      </c>
      <c r="H18" s="8" t="n">
        <f aca="false">IFERROR(LN(G18),"")</f>
        <v>-0.0512932943875506</v>
      </c>
      <c r="I18" s="8" t="n">
        <f aca="false">IF(A18=1,"",G18-G17)</f>
        <v>0</v>
      </c>
      <c r="J18" s="9" t="n">
        <f aca="false">IFERROR(G18/INDEX($G:$G,MATCH(DATE(C18-1,D18,1),$B:$B,0))-1,"")</f>
        <v>-0.967636437964162</v>
      </c>
      <c r="K18" s="8" t="n">
        <f aca="false">AVERAGE(G16:G18)</f>
        <v>1.90066666666667</v>
      </c>
      <c r="L18" s="8" t="n">
        <f aca="false">AVERAGE(G13:G18)</f>
        <v>13.6755</v>
      </c>
      <c r="M18" s="8" t="n">
        <f aca="false">AVERAGE(G7:G18)</f>
        <v>21.5736666666667</v>
      </c>
      <c r="N18" s="8" t="n">
        <f aca="false">AVERAGE(G13:G24)</f>
        <v>7.503</v>
      </c>
      <c r="O18" s="9" t="n">
        <f aca="false">IFERROR(G18/G6,"")</f>
        <v>0.0323635620358384</v>
      </c>
      <c r="P18" s="8" t="n">
        <f aca="false">AVERAGEIFS($G:$G,$D:$D,D18,$C:$C,"&lt;="&amp;Source!$B$8)-AVERAGEIFS($G:$G,$C:$C,"&lt;="&amp;Source!$B$8)</f>
        <v>-1.74611666666667</v>
      </c>
      <c r="Q18" s="8" t="n">
        <f aca="false">G18-P18</f>
        <v>2.69611666666667</v>
      </c>
      <c r="R18" s="8" t="n">
        <f aca="false">INTERCEPT($G$2:$G$61,$A$2:$A$61)+SLOPE($G$2:$G$61,$A$2:$A$61)*A18</f>
        <v>14.8833988700565</v>
      </c>
      <c r="S18" s="8" t="n">
        <f aca="false">G18-R18</f>
        <v>-13.9333988700565</v>
      </c>
      <c r="T18" s="8" t="n">
        <f aca="false">ABS(S18)</f>
        <v>13.9333988700565</v>
      </c>
      <c r="U18" s="10" t="n">
        <f aca="false">IFERROR((S18-AVERAGE($S$2:$S$61))/stdev.s($S$2:$S$61),"")</f>
        <v>-1.24297891423955</v>
      </c>
      <c r="V18" s="6" t="str">
        <f aca="false">IF(ABS(U18)&gt;=Source!$B$10,"Anomaly","")</f>
        <v/>
      </c>
      <c r="W18" s="8" t="n">
        <f aca="false">IF(A18&lt;=12,"",G18-INDEX($G:$G,ROW()-12))</f>
        <v>-28.404</v>
      </c>
      <c r="X18" s="6" t="str">
        <f aca="false">IF(C18=2019,"Baseline",IF(C18&lt;=2021,"COVID shock",IF(C18=2022,"Reopening","Recovery")))</f>
        <v>COVID shock</v>
      </c>
      <c r="Y18" s="9" t="n">
        <f aca="false">IFERROR(ABS(S18/G18),"")</f>
        <v>14.6667356526911</v>
      </c>
    </row>
    <row r="19" customFormat="false" ht="15" hidden="false" customHeight="false" outlineLevel="0" collapsed="false">
      <c r="A19" s="6" t="n">
        <v>18</v>
      </c>
      <c r="B19" s="7" t="n">
        <v>43983</v>
      </c>
      <c r="C19" s="6" t="n">
        <f aca="false">YEAR(B19)</f>
        <v>2020</v>
      </c>
      <c r="D19" s="6" t="n">
        <f aca="false">MONTH(B19)</f>
        <v>6</v>
      </c>
      <c r="E19" s="6" t="str">
        <f aca="false">TEXT(B19,"mmm")</f>
        <v>Jun</v>
      </c>
      <c r="F19" s="6" t="s">
        <v>8</v>
      </c>
      <c r="G19" s="8" t="n">
        <v>0.95</v>
      </c>
      <c r="H19" s="8" t="n">
        <f aca="false">IFERROR(LN(G19),"")</f>
        <v>-0.0512932943875506</v>
      </c>
      <c r="I19" s="8" t="n">
        <f aca="false">IF(A19=1,"",G19-G18)</f>
        <v>0</v>
      </c>
      <c r="J19" s="9" t="n">
        <f aca="false">IFERROR(G19/INDEX($G:$G,MATCH(DATE(C19-1,D19,1),$B:$B,0))-1,"")</f>
        <v>-0.96785762620111</v>
      </c>
      <c r="K19" s="8" t="n">
        <f aca="false">AVERAGE(G17:G19)</f>
        <v>0.95</v>
      </c>
      <c r="L19" s="8" t="n">
        <f aca="false">AVERAGE(G14:G19)</f>
        <v>8.5535</v>
      </c>
      <c r="M19" s="8" t="n">
        <f aca="false">AVERAGE(G8:G19)</f>
        <v>19.1898333333333</v>
      </c>
      <c r="N19" s="8" t="n">
        <f aca="false">AVERAGE(G14:G25)</f>
        <v>4.92616666666667</v>
      </c>
      <c r="O19" s="9" t="n">
        <f aca="false">IFERROR(G19/G7,"")</f>
        <v>0.0321423737988902</v>
      </c>
      <c r="P19" s="8" t="n">
        <f aca="false">AVERAGEIFS($G:$G,$D:$D,D19,$C:$C,"&lt;="&amp;Source!$B$8)-AVERAGEIFS($G:$G,$C:$C,"&lt;="&amp;Source!$B$8)</f>
        <v>-1.10571666666667</v>
      </c>
      <c r="Q19" s="8" t="n">
        <f aca="false">G19-P19</f>
        <v>2.05571666666667</v>
      </c>
      <c r="R19" s="8" t="n">
        <f aca="false">INTERCEPT($G$2:$G$61,$A$2:$A$61)+SLOPE($G$2:$G$61,$A$2:$A$61)*A19</f>
        <v>14.7424446327684</v>
      </c>
      <c r="S19" s="8" t="n">
        <f aca="false">G19-R19</f>
        <v>-13.7924446327684</v>
      </c>
      <c r="T19" s="8" t="n">
        <f aca="false">ABS(S19)</f>
        <v>13.7924446327684</v>
      </c>
      <c r="U19" s="10" t="n">
        <f aca="false">IFERROR((S19-AVERAGE($S$2:$S$61))/stdev.s($S$2:$S$61),"")</f>
        <v>-1.23040458499973</v>
      </c>
      <c r="V19" s="6" t="str">
        <f aca="false">IF(ABS(U19)&gt;=Source!$B$10,"Anomaly","")</f>
        <v/>
      </c>
      <c r="W19" s="8" t="n">
        <f aca="false">IF(A19&lt;=12,"",G19-INDEX($G:$G,ROW()-12))</f>
        <v>-28.606</v>
      </c>
      <c r="X19" s="6" t="str">
        <f aca="false">IF(C19=2019,"Baseline",IF(C19&lt;=2021,"COVID shock",IF(C19=2022,"Reopening","Recovery")))</f>
        <v>COVID shock</v>
      </c>
      <c r="Y19" s="9" t="n">
        <f aca="false">IFERROR(ABS(S19/G19),"")</f>
        <v>14.5183627713351</v>
      </c>
    </row>
    <row r="20" customFormat="false" ht="15" hidden="false" customHeight="false" outlineLevel="0" collapsed="false">
      <c r="A20" s="6" t="n">
        <v>19</v>
      </c>
      <c r="B20" s="7" t="n">
        <v>44013</v>
      </c>
      <c r="C20" s="6" t="n">
        <f aca="false">YEAR(B20)</f>
        <v>2020</v>
      </c>
      <c r="D20" s="6" t="n">
        <f aca="false">MONTH(B20)</f>
        <v>7</v>
      </c>
      <c r="E20" s="6" t="str">
        <f aca="false">TEXT(B20,"mmm")</f>
        <v>Jul</v>
      </c>
      <c r="F20" s="6" t="s">
        <v>8</v>
      </c>
      <c r="G20" s="8" t="n">
        <v>1.426</v>
      </c>
      <c r="H20" s="8" t="n">
        <f aca="false">IFERROR(LN(G20),"")</f>
        <v>0.354873321992104</v>
      </c>
      <c r="I20" s="8" t="n">
        <f aca="false">IF(A20=1,"",G20-G19)</f>
        <v>0.476</v>
      </c>
      <c r="J20" s="9" t="n">
        <f aca="false">IFERROR(G20/INDEX($G:$G,MATCH(DATE(C20-1,D20,1),$B:$B,0))-1,"")</f>
        <v>-0.953809277014771</v>
      </c>
      <c r="K20" s="8" t="n">
        <f aca="false">AVERAGE(G18:G20)</f>
        <v>1.10866666666667</v>
      </c>
      <c r="L20" s="8" t="n">
        <f aca="false">AVERAGE(G15:G20)</f>
        <v>4.03916666666667</v>
      </c>
      <c r="M20" s="8" t="n">
        <f aca="false">AVERAGE(G9:G20)</f>
        <v>16.736</v>
      </c>
      <c r="N20" s="8" t="n">
        <f aca="false">AVERAGE(G15:G26)</f>
        <v>2.6765</v>
      </c>
      <c r="O20" s="9" t="n">
        <f aca="false">IFERROR(G20/G8,"")</f>
        <v>0.0461907229852293</v>
      </c>
      <c r="P20" s="8" t="n">
        <f aca="false">AVERAGEIFS($G:$G,$D:$D,D20,$C:$C,"&lt;="&amp;Source!$B$8)-AVERAGEIFS($G:$G,$C:$C,"&lt;="&amp;Source!$B$8)</f>
        <v>0.120483333333333</v>
      </c>
      <c r="Q20" s="8" t="n">
        <f aca="false">G20-P20</f>
        <v>1.30551666666667</v>
      </c>
      <c r="R20" s="8" t="n">
        <f aca="false">INTERCEPT($G$2:$G$61,$A$2:$A$61)+SLOPE($G$2:$G$61,$A$2:$A$61)*A20</f>
        <v>14.6014903954802</v>
      </c>
      <c r="S20" s="8" t="n">
        <f aca="false">G20-R20</f>
        <v>-13.1754903954802</v>
      </c>
      <c r="T20" s="8" t="n">
        <f aca="false">ABS(S20)</f>
        <v>13.1754903954802</v>
      </c>
      <c r="U20" s="10" t="n">
        <f aca="false">IFERROR((S20-AVERAGE($S$2:$S$61))/stdev.s($S$2:$S$61),"")</f>
        <v>-1.17536696530968</v>
      </c>
      <c r="V20" s="6" t="str">
        <f aca="false">IF(ABS(U20)&gt;=Source!$B$10,"Anomaly","")</f>
        <v/>
      </c>
      <c r="W20" s="8" t="n">
        <f aca="false">IF(A20&lt;=12,"",G20-INDEX($G:$G,ROW()-12))</f>
        <v>-29.446</v>
      </c>
      <c r="X20" s="6" t="str">
        <f aca="false">IF(C20=2019,"Baseline",IF(C20&lt;=2021,"COVID shock",IF(C20=2022,"Reopening","Recovery")))</f>
        <v>COVID shock</v>
      </c>
      <c r="Y20" s="9" t="n">
        <f aca="false">IFERROR(ABS(S20/G20),"")</f>
        <v>9.23947433063129</v>
      </c>
    </row>
    <row r="21" customFormat="false" ht="15" hidden="false" customHeight="false" outlineLevel="0" collapsed="false">
      <c r="A21" s="6" t="n">
        <v>20</v>
      </c>
      <c r="B21" s="7" t="n">
        <v>44044</v>
      </c>
      <c r="C21" s="6" t="n">
        <f aca="false">YEAR(B21)</f>
        <v>2020</v>
      </c>
      <c r="D21" s="6" t="n">
        <f aca="false">MONTH(B21)</f>
        <v>8</v>
      </c>
      <c r="E21" s="6" t="str">
        <f aca="false">TEXT(B21,"mmm")</f>
        <v>Aug</v>
      </c>
      <c r="F21" s="6" t="s">
        <v>8</v>
      </c>
      <c r="G21" s="8" t="n">
        <v>2.376</v>
      </c>
      <c r="H21" s="8" t="n">
        <f aca="false">IFERROR(LN(G21),"")</f>
        <v>0.865418401500398</v>
      </c>
      <c r="I21" s="8" t="n">
        <f aca="false">IF(A21=1,"",G21-G20)</f>
        <v>0.95</v>
      </c>
      <c r="J21" s="9" t="n">
        <f aca="false">IFERROR(G21/INDEX($G:$G,MATCH(DATE(C21-1,D21,1),$B:$B,0))-1,"")</f>
        <v>-0.921754593953764</v>
      </c>
      <c r="K21" s="8" t="n">
        <f aca="false">AVERAGE(G19:G21)</f>
        <v>1.584</v>
      </c>
      <c r="L21" s="8" t="n">
        <f aca="false">AVERAGE(G16:G21)</f>
        <v>1.74233333333333</v>
      </c>
      <c r="M21" s="8" t="n">
        <f aca="false">AVERAGE(G10:G21)</f>
        <v>14.4035</v>
      </c>
      <c r="N21" s="8" t="n">
        <f aca="false">AVERAGE(G16:G27)</f>
        <v>1.45641666666667</v>
      </c>
      <c r="O21" s="9" t="n">
        <f aca="false">IFERROR(G21/G9,"")</f>
        <v>0.0782454060462359</v>
      </c>
      <c r="P21" s="8" t="n">
        <f aca="false">AVERAGEIFS($G:$G,$D:$D,D21,$C:$C,"&lt;="&amp;Source!$B$8)-AVERAGEIFS($G:$G,$C:$C,"&lt;="&amp;Source!$B$8)</f>
        <v>0.269483333333334</v>
      </c>
      <c r="Q21" s="8" t="n">
        <f aca="false">G21-P21</f>
        <v>2.10651666666667</v>
      </c>
      <c r="R21" s="8" t="n">
        <f aca="false">INTERCEPT($G$2:$G$61,$A$2:$A$61)+SLOPE($G$2:$G$61,$A$2:$A$61)*A21</f>
        <v>14.4605361581921</v>
      </c>
      <c r="S21" s="8" t="n">
        <f aca="false">G21-R21</f>
        <v>-12.0845361581921</v>
      </c>
      <c r="T21" s="8" t="n">
        <f aca="false">ABS(S21)</f>
        <v>12.0845361581921</v>
      </c>
      <c r="U21" s="10" t="n">
        <f aca="false">IFERROR((S21-AVERAGE($S$2:$S$61))/stdev.s($S$2:$S$61),"")</f>
        <v>-1.07804447235618</v>
      </c>
      <c r="V21" s="6" t="str">
        <f aca="false">IF(ABS(U21)&gt;=Source!$B$10,"Anomaly","")</f>
        <v/>
      </c>
      <c r="W21" s="8" t="n">
        <f aca="false">IF(A21&lt;=12,"",G21-INDEX($G:$G,ROW()-12))</f>
        <v>-27.99</v>
      </c>
      <c r="X21" s="6" t="str">
        <f aca="false">IF(C21=2019,"Baseline",IF(C21&lt;=2021,"COVID shock",IF(C21=2022,"Reopening","Recovery")))</f>
        <v>COVID shock</v>
      </c>
      <c r="Y21" s="9" t="n">
        <f aca="false">IFERROR(ABS(S21/G21),"")</f>
        <v>5.08608424166334</v>
      </c>
    </row>
    <row r="22" customFormat="false" ht="15" hidden="false" customHeight="false" outlineLevel="0" collapsed="false">
      <c r="A22" s="6" t="n">
        <v>21</v>
      </c>
      <c r="B22" s="7" t="n">
        <v>44075</v>
      </c>
      <c r="C22" s="6" t="n">
        <f aca="false">YEAR(B22)</f>
        <v>2020</v>
      </c>
      <c r="D22" s="6" t="n">
        <f aca="false">MONTH(B22)</f>
        <v>9</v>
      </c>
      <c r="E22" s="6" t="str">
        <f aca="false">TEXT(B22,"mmm")</f>
        <v>Sep</v>
      </c>
      <c r="F22" s="6" t="s">
        <v>8</v>
      </c>
      <c r="G22" s="8" t="n">
        <v>1.901</v>
      </c>
      <c r="H22" s="8" t="n">
        <f aca="false">IFERROR(LN(G22),"")</f>
        <v>0.642380063506292</v>
      </c>
      <c r="I22" s="8" t="n">
        <f aca="false">IF(A22=1,"",G22-G21)</f>
        <v>-0.475</v>
      </c>
      <c r="J22" s="9" t="n">
        <f aca="false">IFERROR(G22/INDEX($G:$G,MATCH(DATE(C22-1,D22,1),$B:$B,0))-1,"")</f>
        <v>-0.929922217716666</v>
      </c>
      <c r="K22" s="8" t="n">
        <f aca="false">AVERAGE(G20:G22)</f>
        <v>1.901</v>
      </c>
      <c r="L22" s="8" t="n">
        <f aca="false">AVERAGE(G17:G22)</f>
        <v>1.4255</v>
      </c>
      <c r="M22" s="8" t="n">
        <f aca="false">AVERAGE(G11:G22)</f>
        <v>12.3013333333333</v>
      </c>
      <c r="N22" s="8" t="n">
        <f aca="false">AVERAGE(G17:G28)</f>
        <v>1.28275</v>
      </c>
      <c r="O22" s="9" t="n">
        <f aca="false">IFERROR(G22/G10,"")</f>
        <v>0.0700777822833339</v>
      </c>
      <c r="P22" s="8" t="n">
        <f aca="false">AVERAGEIFS($G:$G,$D:$D,D22,$C:$C,"&lt;="&amp;Source!$B$8)-AVERAGEIFS($G:$G,$C:$C,"&lt;="&amp;Source!$B$8)</f>
        <v>-0.812516666666667</v>
      </c>
      <c r="Q22" s="8" t="n">
        <f aca="false">G22-P22</f>
        <v>2.71351666666667</v>
      </c>
      <c r="R22" s="8" t="n">
        <f aca="false">INTERCEPT($G$2:$G$61,$A$2:$A$61)+SLOPE($G$2:$G$61,$A$2:$A$61)*A22</f>
        <v>14.319581920904</v>
      </c>
      <c r="S22" s="8" t="n">
        <f aca="false">G22-R22</f>
        <v>-12.418581920904</v>
      </c>
      <c r="T22" s="8" t="n">
        <f aca="false">ABS(S22)</f>
        <v>12.418581920904</v>
      </c>
      <c r="U22" s="10" t="n">
        <f aca="false">IFERROR((S22-AVERAGE($S$2:$S$61))/stdev.s($S$2:$S$61),"")</f>
        <v>-1.1078442249732</v>
      </c>
      <c r="V22" s="6" t="str">
        <f aca="false">IF(ABS(U22)&gt;=Source!$B$10,"Anomaly","")</f>
        <v/>
      </c>
      <c r="W22" s="8" t="n">
        <f aca="false">IF(A22&lt;=12,"",G22-INDEX($G:$G,ROW()-12))</f>
        <v>-25.226</v>
      </c>
      <c r="X22" s="6" t="str">
        <f aca="false">IF(C22=2019,"Baseline",IF(C22&lt;=2021,"COVID shock",IF(C22=2022,"Reopening","Recovery")))</f>
        <v>COVID shock</v>
      </c>
      <c r="Y22" s="9" t="n">
        <f aca="false">IFERROR(ABS(S22/G22),"")</f>
        <v>6.532657507051</v>
      </c>
    </row>
    <row r="23" customFormat="false" ht="15" hidden="false" customHeight="false" outlineLevel="0" collapsed="false">
      <c r="A23" s="6" t="n">
        <v>22</v>
      </c>
      <c r="B23" s="7" t="n">
        <v>44105</v>
      </c>
      <c r="C23" s="6" t="n">
        <f aca="false">YEAR(B23)</f>
        <v>2020</v>
      </c>
      <c r="D23" s="6" t="n">
        <f aca="false">MONTH(B23)</f>
        <v>10</v>
      </c>
      <c r="E23" s="6" t="str">
        <f aca="false">TEXT(B23,"mmm")</f>
        <v>Oct</v>
      </c>
      <c r="F23" s="6" t="s">
        <v>8</v>
      </c>
      <c r="G23" s="8" t="n">
        <v>0.76</v>
      </c>
      <c r="H23" s="8" t="n">
        <f aca="false">IFERROR(LN(G23),"")</f>
        <v>-0.27443684570176</v>
      </c>
      <c r="I23" s="8" t="n">
        <f aca="false">IF(A23=1,"",G23-G22)</f>
        <v>-1.141</v>
      </c>
      <c r="J23" s="9" t="n">
        <f aca="false">IFERROR(G23/INDEX($G:$G,MATCH(DATE(C23-1,D23,1),$B:$B,0))-1,"")</f>
        <v>-0.974109150371329</v>
      </c>
      <c r="K23" s="8" t="n">
        <f aca="false">AVERAGE(G21:G23)</f>
        <v>1.679</v>
      </c>
      <c r="L23" s="8" t="n">
        <f aca="false">AVERAGE(G18:G23)</f>
        <v>1.39383333333333</v>
      </c>
      <c r="M23" s="8" t="n">
        <f aca="false">AVERAGE(G12:G23)</f>
        <v>9.9185</v>
      </c>
      <c r="N23" s="8" t="n">
        <f aca="false">AVERAGE(G18:G29)</f>
        <v>1.372</v>
      </c>
      <c r="O23" s="9" t="n">
        <f aca="false">IFERROR(G23/G11,"")</f>
        <v>0.0258908496286707</v>
      </c>
      <c r="P23" s="8" t="n">
        <f aca="false">AVERAGEIFS($G:$G,$D:$D,D23,$C:$C,"&lt;="&amp;Source!$B$8)-AVERAGEIFS($G:$G,$C:$C,"&lt;="&amp;Source!$B$8)</f>
        <v>0.087883333333334</v>
      </c>
      <c r="Q23" s="8" t="n">
        <f aca="false">G23-P23</f>
        <v>0.672116666666666</v>
      </c>
      <c r="R23" s="8" t="n">
        <f aca="false">INTERCEPT($G$2:$G$61,$A$2:$A$61)+SLOPE($G$2:$G$61,$A$2:$A$61)*A23</f>
        <v>14.1786276836158</v>
      </c>
      <c r="S23" s="8" t="n">
        <f aca="false">G23-R23</f>
        <v>-13.4186276836158</v>
      </c>
      <c r="T23" s="8" t="n">
        <f aca="false">ABS(S23)</f>
        <v>13.4186276836158</v>
      </c>
      <c r="U23" s="10" t="n">
        <f aca="false">IFERROR((S23-AVERAGE($S$2:$S$61))/stdev.s($S$2:$S$61),"")</f>
        <v>-1.19705690078317</v>
      </c>
      <c r="V23" s="6" t="str">
        <f aca="false">IF(ABS(U23)&gt;=Source!$B$10,"Anomaly","")</f>
        <v/>
      </c>
      <c r="W23" s="8" t="n">
        <f aca="false">IF(A23&lt;=12,"",G23-INDEX($G:$G,ROW()-12))</f>
        <v>-28.594</v>
      </c>
      <c r="X23" s="6" t="str">
        <f aca="false">IF(C23=2019,"Baseline",IF(C23&lt;=2021,"COVID shock",IF(C23=2022,"Reopening","Recovery")))</f>
        <v>COVID shock</v>
      </c>
      <c r="Y23" s="9" t="n">
        <f aca="false">IFERROR(ABS(S23/G23),"")</f>
        <v>17.6560890573892</v>
      </c>
    </row>
    <row r="24" customFormat="false" ht="15" hidden="false" customHeight="false" outlineLevel="0" collapsed="false">
      <c r="A24" s="6" t="n">
        <v>23</v>
      </c>
      <c r="B24" s="7" t="n">
        <v>44136</v>
      </c>
      <c r="C24" s="6" t="n">
        <f aca="false">YEAR(B24)</f>
        <v>2020</v>
      </c>
      <c r="D24" s="6" t="n">
        <f aca="false">MONTH(B24)</f>
        <v>11</v>
      </c>
      <c r="E24" s="6" t="str">
        <f aca="false">TEXT(B24,"mmm")</f>
        <v>Nov</v>
      </c>
      <c r="F24" s="6" t="s">
        <v>8</v>
      </c>
      <c r="G24" s="8" t="n">
        <v>0.57</v>
      </c>
      <c r="H24" s="8" t="n">
        <f aca="false">IFERROR(LN(G24),"")</f>
        <v>-0.562118918153541</v>
      </c>
      <c r="I24" s="8" t="n">
        <f aca="false">IF(A24=1,"",G24-G23)</f>
        <v>-0.19</v>
      </c>
      <c r="J24" s="9" t="n">
        <f aca="false">IFERROR(G24/INDEX($G:$G,MATCH(DATE(C24-1,D24,1),$B:$B,0))-1,"")</f>
        <v>-0.980714575720666</v>
      </c>
      <c r="K24" s="8" t="n">
        <f aca="false">AVERAGE(G22:G24)</f>
        <v>1.077</v>
      </c>
      <c r="L24" s="8" t="n">
        <f aca="false">AVERAGE(G19:G24)</f>
        <v>1.3305</v>
      </c>
      <c r="M24" s="8" t="n">
        <f aca="false">AVERAGE(G13:G24)</f>
        <v>7.503</v>
      </c>
      <c r="N24" s="8" t="n">
        <f aca="false">AVERAGE(G19:G30)</f>
        <v>1.46125</v>
      </c>
      <c r="O24" s="9" t="n">
        <f aca="false">IFERROR(G24/G12,"")</f>
        <v>0.0192854242793341</v>
      </c>
      <c r="P24" s="8" t="n">
        <f aca="false">AVERAGEIFS($G:$G,$D:$D,D24,$C:$C,"&lt;="&amp;Source!$B$8)-AVERAGEIFS($G:$G,$C:$C,"&lt;="&amp;Source!$B$8)</f>
        <v>0.672283333333333</v>
      </c>
      <c r="Q24" s="8" t="n">
        <f aca="false">G24-P24</f>
        <v>-0.102283333333333</v>
      </c>
      <c r="R24" s="8" t="n">
        <f aca="false">INTERCEPT($G$2:$G$61,$A$2:$A$61)+SLOPE($G$2:$G$61,$A$2:$A$61)*A24</f>
        <v>14.0376734463277</v>
      </c>
      <c r="S24" s="8" t="n">
        <f aca="false">G24-R24</f>
        <v>-13.4676734463277</v>
      </c>
      <c r="T24" s="8" t="n">
        <f aca="false">ABS(S24)</f>
        <v>13.4676734463277</v>
      </c>
      <c r="U24" s="10" t="n">
        <f aca="false">IFERROR((S24-AVERAGE($S$2:$S$61))/stdev.s($S$2:$S$61),"")</f>
        <v>-1.20143220428609</v>
      </c>
      <c r="V24" s="6" t="str">
        <f aca="false">IF(ABS(U24)&gt;=Source!$B$10,"Anomaly","")</f>
        <v/>
      </c>
      <c r="W24" s="8" t="n">
        <f aca="false">IF(A24&lt;=12,"",G24-INDEX($G:$G,ROW()-12))</f>
        <v>-28.986</v>
      </c>
      <c r="X24" s="6" t="str">
        <f aca="false">IF(C24=2019,"Baseline",IF(C24&lt;=2021,"COVID shock",IF(C24=2022,"Reopening","Recovery")))</f>
        <v>COVID shock</v>
      </c>
      <c r="Y24" s="9" t="n">
        <f aca="false">IFERROR(ABS(S24/G24),"")</f>
        <v>23.6274972742591</v>
      </c>
    </row>
    <row r="25" customFormat="false" ht="15" hidden="false" customHeight="false" outlineLevel="0" collapsed="false">
      <c r="A25" s="6" t="n">
        <v>24</v>
      </c>
      <c r="B25" s="7" t="n">
        <v>44166</v>
      </c>
      <c r="C25" s="6" t="n">
        <f aca="false">YEAR(B25)</f>
        <v>2020</v>
      </c>
      <c r="D25" s="6" t="n">
        <f aca="false">MONTH(B25)</f>
        <v>12</v>
      </c>
      <c r="E25" s="6" t="str">
        <f aca="false">TEXT(B25,"mmm")</f>
        <v>Dec</v>
      </c>
      <c r="F25" s="6" t="s">
        <v>8</v>
      </c>
      <c r="G25" s="8" t="n">
        <v>0.76</v>
      </c>
      <c r="H25" s="8" t="n">
        <f aca="false">IFERROR(LN(G25),"")</f>
        <v>-0.27443684570176</v>
      </c>
      <c r="I25" s="8" t="n">
        <f aca="false">IF(A25=1,"",G25-G24)</f>
        <v>0.19</v>
      </c>
      <c r="J25" s="9" t="n">
        <f aca="false">IFERROR(G25/INDEX($G:$G,MATCH(DATE(C25-1,D25,1),$B:$B,0))-1,"")</f>
        <v>-0.976011615428319</v>
      </c>
      <c r="K25" s="8" t="n">
        <f aca="false">AVERAGE(G23:G25)</f>
        <v>0.696666666666667</v>
      </c>
      <c r="L25" s="8" t="n">
        <f aca="false">AVERAGE(G20:G25)</f>
        <v>1.29883333333333</v>
      </c>
      <c r="M25" s="8" t="n">
        <f aca="false">AVERAGE(G14:G25)</f>
        <v>4.92616666666667</v>
      </c>
      <c r="N25" s="8" t="n">
        <f aca="false">AVERAGE(G20:G31)</f>
        <v>1.5505</v>
      </c>
      <c r="O25" s="9" t="n">
        <f aca="false">IFERROR(G25/G13,"")</f>
        <v>0.0239883845716811</v>
      </c>
      <c r="P25" s="8" t="n">
        <f aca="false">AVERAGEIFS($G:$G,$D:$D,D25,$C:$C,"&lt;="&amp;Source!$B$8)-AVERAGEIFS($G:$G,$C:$C,"&lt;="&amp;Source!$B$8)</f>
        <v>2.62048333333333</v>
      </c>
      <c r="Q25" s="8" t="n">
        <f aca="false">G25-P25</f>
        <v>-1.86048333333333</v>
      </c>
      <c r="R25" s="8" t="n">
        <f aca="false">INTERCEPT($G$2:$G$61,$A$2:$A$61)+SLOPE($G$2:$G$61,$A$2:$A$61)*A25</f>
        <v>13.8967192090395</v>
      </c>
      <c r="S25" s="8" t="n">
        <f aca="false">G25-R25</f>
        <v>-13.1367192090395</v>
      </c>
      <c r="T25" s="8" t="n">
        <f aca="false">ABS(S25)</f>
        <v>13.1367192090395</v>
      </c>
      <c r="U25" s="10" t="n">
        <f aca="false">IFERROR((S25-AVERAGE($S$2:$S$61))/stdev.s($S$2:$S$61),"")</f>
        <v>-1.17190824230353</v>
      </c>
      <c r="V25" s="6" t="str">
        <f aca="false">IF(ABS(U25)&gt;=Source!$B$10,"Anomaly","")</f>
        <v/>
      </c>
      <c r="W25" s="8" t="n">
        <f aca="false">IF(A25&lt;=12,"",G25-INDEX($G:$G,ROW()-12))</f>
        <v>-30.922</v>
      </c>
      <c r="X25" s="6" t="str">
        <f aca="false">IF(C25=2019,"Baseline",IF(C25&lt;=2021,"COVID shock",IF(C25=2022,"Reopening","Recovery")))</f>
        <v>COVID shock</v>
      </c>
      <c r="Y25" s="9" t="n">
        <f aca="false">IFERROR(ABS(S25/G25),"")</f>
        <v>17.2851568539994</v>
      </c>
    </row>
    <row r="26" customFormat="false" ht="15" hidden="false" customHeight="false" outlineLevel="0" collapsed="false">
      <c r="A26" s="6" t="n">
        <v>25</v>
      </c>
      <c r="B26" s="7" t="n">
        <v>44197</v>
      </c>
      <c r="C26" s="6" t="n">
        <f aca="false">YEAR(B26)</f>
        <v>2021</v>
      </c>
      <c r="D26" s="6" t="n">
        <f aca="false">MONTH(B26)</f>
        <v>1</v>
      </c>
      <c r="E26" s="6" t="str">
        <f aca="false">TEXT(B26,"mmm")</f>
        <v>Jan</v>
      </c>
      <c r="F26" s="6" t="s">
        <v>8</v>
      </c>
      <c r="G26" s="8" t="n">
        <v>1.516</v>
      </c>
      <c r="H26" s="8" t="n">
        <f aca="false">IFERROR(LN(G26),"")</f>
        <v>0.41607528722018</v>
      </c>
      <c r="I26" s="8" t="n">
        <f aca="false">IF(A26=1,"",G26-G25)</f>
        <v>0.756</v>
      </c>
      <c r="J26" s="9" t="n">
        <f aca="false">IFERROR(G26/INDEX($G:$G,MATCH(DATE(C26-1,D26,1),$B:$B,0))-1,"")</f>
        <v>-0.946829405162739</v>
      </c>
      <c r="K26" s="8" t="n">
        <f aca="false">AVERAGE(G24:G26)</f>
        <v>0.948666666666667</v>
      </c>
      <c r="L26" s="8" t="n">
        <f aca="false">AVERAGE(G21:G26)</f>
        <v>1.31383333333333</v>
      </c>
      <c r="M26" s="8" t="n">
        <f aca="false">AVERAGE(G15:G26)</f>
        <v>2.6765</v>
      </c>
      <c r="N26" s="8" t="n">
        <f aca="false">AVERAGE(G21:G32)</f>
        <v>1.62533333333333</v>
      </c>
      <c r="O26" s="9" t="n">
        <f aca="false">IFERROR(G26/G2,"")</f>
        <v>0.0491059860067375</v>
      </c>
      <c r="P26" s="8" t="n">
        <f aca="false">AVERAGEIFS($G:$G,$D:$D,D26,$C:$C,"&lt;="&amp;Source!$B$8)-AVERAGEIFS($G:$G,$C:$C,"&lt;="&amp;Source!$B$8)</f>
        <v>2.60408333333333</v>
      </c>
      <c r="Q26" s="8" t="n">
        <f aca="false">G26-P26</f>
        <v>-1.08808333333333</v>
      </c>
      <c r="R26" s="8" t="n">
        <f aca="false">INTERCEPT($G$2:$G$61,$A$2:$A$61)+SLOPE($G$2:$G$61,$A$2:$A$61)*A26</f>
        <v>13.7557649717514</v>
      </c>
      <c r="S26" s="8" t="n">
        <f aca="false">G26-R26</f>
        <v>-12.2397649717514</v>
      </c>
      <c r="T26" s="8" t="n">
        <f aca="false">ABS(S26)</f>
        <v>12.2397649717514</v>
      </c>
      <c r="U26" s="10" t="n">
        <f aca="false">IFERROR((S26-AVERAGE($S$2:$S$61))/stdev.s($S$2:$S$61),"")</f>
        <v>-1.09189221646629</v>
      </c>
      <c r="V26" s="6" t="str">
        <f aca="false">IF(ABS(U26)&gt;=Source!$B$10,"Anomaly","")</f>
        <v/>
      </c>
      <c r="W26" s="8" t="n">
        <f aca="false">IF(A26&lt;=12,"",G26-INDEX($G:$G,ROW()-12))</f>
        <v>-26.996</v>
      </c>
      <c r="X26" s="6" t="str">
        <f aca="false">IF(C26=2019,"Baseline",IF(C26&lt;=2021,"COVID shock",IF(C26=2022,"Reopening","Recovery")))</f>
        <v>COVID shock</v>
      </c>
      <c r="Y26" s="9" t="n">
        <f aca="false">IFERROR(ABS(S26/G26),"")</f>
        <v>8.07372359614209</v>
      </c>
    </row>
    <row r="27" customFormat="false" ht="15" hidden="false" customHeight="false" outlineLevel="0" collapsed="false">
      <c r="A27" s="6" t="n">
        <v>26</v>
      </c>
      <c r="B27" s="7" t="n">
        <v>44228</v>
      </c>
      <c r="C27" s="6" t="n">
        <f aca="false">YEAR(B27)</f>
        <v>2021</v>
      </c>
      <c r="D27" s="6" t="n">
        <f aca="false">MONTH(B27)</f>
        <v>2</v>
      </c>
      <c r="E27" s="6" t="str">
        <f aca="false">TEXT(B27,"mmm")</f>
        <v>Feb</v>
      </c>
      <c r="F27" s="6" t="s">
        <v>8</v>
      </c>
      <c r="G27" s="8" t="n">
        <v>1.516</v>
      </c>
      <c r="H27" s="8" t="n">
        <f aca="false">IFERROR(LN(G27),"")</f>
        <v>0.41607528722018</v>
      </c>
      <c r="I27" s="8" t="n">
        <f aca="false">IF(A27=1,"",G27-G26)</f>
        <v>0</v>
      </c>
      <c r="J27" s="9" t="n">
        <f aca="false">IFERROR(G27/INDEX($G:$G,MATCH(DATE(C27-1,D27,1),$B:$B,0))-1,"")</f>
        <v>-0.906170700006189</v>
      </c>
      <c r="K27" s="8" t="n">
        <f aca="false">AVERAGE(G25:G27)</f>
        <v>1.264</v>
      </c>
      <c r="L27" s="8" t="n">
        <f aca="false">AVERAGE(G22:G27)</f>
        <v>1.1705</v>
      </c>
      <c r="M27" s="8" t="n">
        <f aca="false">AVERAGE(G16:G27)</f>
        <v>1.45641666666667</v>
      </c>
      <c r="N27" s="8" t="n">
        <f aca="false">AVERAGE(G22:G33)</f>
        <v>1.60416666666667</v>
      </c>
      <c r="O27" s="9" t="n">
        <f aca="false">IFERROR(G27/G3,"")</f>
        <v>0.0499242573931371</v>
      </c>
      <c r="P27" s="8" t="n">
        <f aca="false">AVERAGEIFS($G:$G,$D:$D,D27,$C:$C,"&lt;="&amp;Source!$B$8)-AVERAGEIFS($G:$G,$C:$C,"&lt;="&amp;Source!$B$8)</f>
        <v>0.254283333333332</v>
      </c>
      <c r="Q27" s="8" t="n">
        <f aca="false">G27-P27</f>
        <v>1.26171666666667</v>
      </c>
      <c r="R27" s="8" t="n">
        <f aca="false">INTERCEPT($G$2:$G$61,$A$2:$A$61)+SLOPE($G$2:$G$61,$A$2:$A$61)*A27</f>
        <v>13.6148107344633</v>
      </c>
      <c r="S27" s="8" t="n">
        <f aca="false">G27-R27</f>
        <v>-12.0988107344633</v>
      </c>
      <c r="T27" s="8" t="n">
        <f aca="false">ABS(S27)</f>
        <v>12.0988107344633</v>
      </c>
      <c r="U27" s="10" t="n">
        <f aca="false">IFERROR((S27-AVERAGE($S$2:$S$61))/stdev.s($S$2:$S$61),"")</f>
        <v>-1.07931788722647</v>
      </c>
      <c r="V27" s="6" t="str">
        <f aca="false">IF(ABS(U27)&gt;=Source!$B$10,"Anomaly","")</f>
        <v/>
      </c>
      <c r="W27" s="8" t="n">
        <f aca="false">IF(A27&lt;=12,"",G27-INDEX($G:$G,ROW()-12))</f>
        <v>-14.641</v>
      </c>
      <c r="X27" s="6" t="str">
        <f aca="false">IF(C27=2019,"Baseline",IF(C27&lt;=2021,"COVID shock",IF(C27=2022,"Reopening","Recovery")))</f>
        <v>COVID shock</v>
      </c>
      <c r="Y27" s="9" t="n">
        <f aca="false">IFERROR(ABS(S27/G27),"")</f>
        <v>7.98074586706021</v>
      </c>
    </row>
    <row r="28" customFormat="false" ht="15" hidden="false" customHeight="false" outlineLevel="0" collapsed="false">
      <c r="A28" s="6" t="n">
        <v>27</v>
      </c>
      <c r="B28" s="7" t="n">
        <v>44256</v>
      </c>
      <c r="C28" s="6" t="n">
        <f aca="false">YEAR(B28)</f>
        <v>2021</v>
      </c>
      <c r="D28" s="6" t="n">
        <f aca="false">MONTH(B28)</f>
        <v>3</v>
      </c>
      <c r="E28" s="6" t="str">
        <f aca="false">TEXT(B28,"mmm")</f>
        <v>Mar</v>
      </c>
      <c r="F28" s="6" t="s">
        <v>8</v>
      </c>
      <c r="G28" s="8" t="n">
        <v>1.718</v>
      </c>
      <c r="H28" s="8" t="n">
        <f aca="false">IFERROR(LN(G28),"")</f>
        <v>0.541160823562064</v>
      </c>
      <c r="I28" s="8" t="n">
        <f aca="false">IF(A28=1,"",G28-G27)</f>
        <v>0.202</v>
      </c>
      <c r="J28" s="9" t="n">
        <f aca="false">IFERROR(G28/INDEX($G:$G,MATCH(DATE(C28-1,D28,1),$B:$B,0))-1,"")</f>
        <v>-0.548132561809574</v>
      </c>
      <c r="K28" s="8" t="n">
        <f aca="false">AVERAGE(G26:G28)</f>
        <v>1.58333333333333</v>
      </c>
      <c r="L28" s="8" t="n">
        <f aca="false">AVERAGE(G23:G28)</f>
        <v>1.14</v>
      </c>
      <c r="M28" s="8" t="n">
        <f aca="false">AVERAGE(G17:G28)</f>
        <v>1.28275</v>
      </c>
      <c r="N28" s="8" t="n">
        <f aca="false">AVERAGE(G23:G34)</f>
        <v>1.61416666666667</v>
      </c>
      <c r="O28" s="9" t="n">
        <f aca="false">IFERROR(G28/G4,"")</f>
        <v>0.0537126778177271</v>
      </c>
      <c r="P28" s="8" t="n">
        <f aca="false">AVERAGEIFS($G:$G,$D:$D,D28,$C:$C,"&lt;="&amp;Source!$B$8)-AVERAGEIFS($G:$G,$C:$C,"&lt;="&amp;Source!$B$8)</f>
        <v>-1.36531666666667</v>
      </c>
      <c r="Q28" s="8" t="n">
        <f aca="false">G28-P28</f>
        <v>3.08331666666667</v>
      </c>
      <c r="R28" s="8" t="n">
        <f aca="false">INTERCEPT($G$2:$G$61,$A$2:$A$61)+SLOPE($G$2:$G$61,$A$2:$A$61)*A28</f>
        <v>13.4738564971751</v>
      </c>
      <c r="S28" s="8" t="n">
        <f aca="false">G28-R28</f>
        <v>-11.7558564971751</v>
      </c>
      <c r="T28" s="8" t="n">
        <f aca="false">ABS(S28)</f>
        <v>11.7558564971751</v>
      </c>
      <c r="U28" s="10" t="n">
        <f aca="false">IFERROR((S28-AVERAGE($S$2:$S$61))/stdev.s($S$2:$S$61),"")</f>
        <v>-1.04872342212331</v>
      </c>
      <c r="V28" s="6" t="str">
        <f aca="false">IF(ABS(U28)&gt;=Source!$B$10,"Anomaly","")</f>
        <v/>
      </c>
      <c r="W28" s="8" t="n">
        <f aca="false">IF(A28&lt;=12,"",G28-INDEX($G:$G,ROW()-12))</f>
        <v>-2.084</v>
      </c>
      <c r="X28" s="6" t="str">
        <f aca="false">IF(C28=2019,"Baseline",IF(C28&lt;=2021,"COVID shock",IF(C28=2022,"Reopening","Recovery")))</f>
        <v>COVID shock</v>
      </c>
      <c r="Y28" s="9" t="n">
        <f aca="false">IFERROR(ABS(S28/G28),"")</f>
        <v>6.84275698322185</v>
      </c>
    </row>
    <row r="29" customFormat="false" ht="15" hidden="false" customHeight="false" outlineLevel="0" collapsed="false">
      <c r="A29" s="6" t="n">
        <v>28</v>
      </c>
      <c r="B29" s="7" t="n">
        <v>44287</v>
      </c>
      <c r="C29" s="6" t="n">
        <f aca="false">YEAR(B29)</f>
        <v>2021</v>
      </c>
      <c r="D29" s="6" t="n">
        <f aca="false">MONTH(B29)</f>
        <v>4</v>
      </c>
      <c r="E29" s="6" t="str">
        <f aca="false">TEXT(B29,"mmm")</f>
        <v>Apr</v>
      </c>
      <c r="F29" s="6" t="s">
        <v>8</v>
      </c>
      <c r="G29" s="8" t="n">
        <v>2.021</v>
      </c>
      <c r="H29" s="8" t="n">
        <f aca="false">IFERROR(LN(G29),"")</f>
        <v>0.703592438421484</v>
      </c>
      <c r="I29" s="8" t="n">
        <f aca="false">IF(A29=1,"",G29-G28)</f>
        <v>0.303</v>
      </c>
      <c r="J29" s="9" t="n">
        <f aca="false">IFERROR(G29/INDEX($G:$G,MATCH(DATE(C29-1,D29,1),$B:$B,0))-1,"")</f>
        <v>1.12736842105263</v>
      </c>
      <c r="K29" s="8" t="n">
        <f aca="false">AVERAGE(G27:G29)</f>
        <v>1.75166666666667</v>
      </c>
      <c r="L29" s="8" t="n">
        <f aca="false">AVERAGE(G24:G29)</f>
        <v>1.35016666666667</v>
      </c>
      <c r="M29" s="8" t="n">
        <f aca="false">AVERAGE(G18:G29)</f>
        <v>1.372</v>
      </c>
      <c r="N29" s="8" t="n">
        <f aca="false">AVERAGE(G24:G35)</f>
        <v>1.7445</v>
      </c>
      <c r="O29" s="9" t="n">
        <f aca="false">IFERROR(G29/G5,"")</f>
        <v>0.0639941737120421</v>
      </c>
      <c r="P29" s="8" t="n">
        <f aca="false">AVERAGEIFS($G:$G,$D:$D,D29,$C:$C,"&lt;="&amp;Source!$B$8)-AVERAGEIFS($G:$G,$C:$C,"&lt;="&amp;Source!$B$8)</f>
        <v>-1.59931666666667</v>
      </c>
      <c r="Q29" s="8" t="n">
        <f aca="false">G29-P29</f>
        <v>3.62031666666667</v>
      </c>
      <c r="R29" s="8" t="n">
        <f aca="false">INTERCEPT($G$2:$G$61,$A$2:$A$61)+SLOPE($G$2:$G$61,$A$2:$A$61)*A29</f>
        <v>13.332902259887</v>
      </c>
      <c r="S29" s="8" t="n">
        <f aca="false">G29-R29</f>
        <v>-11.311902259887</v>
      </c>
      <c r="T29" s="8" t="n">
        <f aca="false">ABS(S29)</f>
        <v>11.311902259887</v>
      </c>
      <c r="U29" s="10" t="n">
        <f aca="false">IFERROR((S29-AVERAGE($S$2:$S$61))/stdev.s($S$2:$S$61),"")</f>
        <v>-1.0091188890885</v>
      </c>
      <c r="V29" s="6" t="str">
        <f aca="false">IF(ABS(U29)&gt;=Source!$B$10,"Anomaly","")</f>
        <v/>
      </c>
      <c r="W29" s="8" t="n">
        <f aca="false">IF(A29&lt;=12,"",G29-INDEX($G:$G,ROW()-12))</f>
        <v>1.071</v>
      </c>
      <c r="X29" s="6" t="str">
        <f aca="false">IF(C29=2019,"Baseline",IF(C29&lt;=2021,"COVID shock",IF(C29=2022,"Reopening","Recovery")))</f>
        <v>COVID shock</v>
      </c>
      <c r="Y29" s="9" t="n">
        <f aca="false">IFERROR(ABS(S29/G29),"")</f>
        <v>5.59718073225483</v>
      </c>
    </row>
    <row r="30" customFormat="false" ht="15" hidden="false" customHeight="false" outlineLevel="0" collapsed="false">
      <c r="A30" s="6" t="n">
        <v>29</v>
      </c>
      <c r="B30" s="7" t="n">
        <v>44317</v>
      </c>
      <c r="C30" s="6" t="n">
        <f aca="false">YEAR(B30)</f>
        <v>2021</v>
      </c>
      <c r="D30" s="6" t="n">
        <f aca="false">MONTH(B30)</f>
        <v>5</v>
      </c>
      <c r="E30" s="6" t="str">
        <f aca="false">TEXT(B30,"mmm")</f>
        <v>May</v>
      </c>
      <c r="F30" s="6" t="s">
        <v>8</v>
      </c>
      <c r="G30" s="8" t="n">
        <v>2.021</v>
      </c>
      <c r="H30" s="8" t="n">
        <f aca="false">IFERROR(LN(G30),"")</f>
        <v>0.703592438421484</v>
      </c>
      <c r="I30" s="8" t="n">
        <f aca="false">IF(A30=1,"",G30-G29)</f>
        <v>0</v>
      </c>
      <c r="J30" s="9" t="n">
        <f aca="false">IFERROR(G30/INDEX($G:$G,MATCH(DATE(C30-1,D30,1),$B:$B,0))-1,"")</f>
        <v>1.12736842105263</v>
      </c>
      <c r="K30" s="8" t="n">
        <f aca="false">AVERAGE(G28:G30)</f>
        <v>1.92</v>
      </c>
      <c r="L30" s="8" t="n">
        <f aca="false">AVERAGE(G25:G30)</f>
        <v>1.592</v>
      </c>
      <c r="M30" s="8" t="n">
        <f aca="false">AVERAGE(G19:G30)</f>
        <v>1.46125</v>
      </c>
      <c r="N30" s="8" t="n">
        <f aca="false">AVERAGE(G25:G36)</f>
        <v>1.94958333333333</v>
      </c>
      <c r="O30" s="9" t="n">
        <f aca="false">IFERROR(G30/G6,"")</f>
        <v>0.0688492198678204</v>
      </c>
      <c r="P30" s="8" t="n">
        <f aca="false">AVERAGEIFS($G:$G,$D:$D,D30,$C:$C,"&lt;="&amp;Source!$B$8)-AVERAGEIFS($G:$G,$C:$C,"&lt;="&amp;Source!$B$8)</f>
        <v>-1.74611666666667</v>
      </c>
      <c r="Q30" s="8" t="n">
        <f aca="false">G30-P30</f>
        <v>3.76711666666667</v>
      </c>
      <c r="R30" s="8" t="n">
        <f aca="false">INTERCEPT($G$2:$G$61,$A$2:$A$61)+SLOPE($G$2:$G$61,$A$2:$A$61)*A30</f>
        <v>13.1919480225989</v>
      </c>
      <c r="S30" s="8" t="n">
        <f aca="false">G30-R30</f>
        <v>-11.1709480225989</v>
      </c>
      <c r="T30" s="8" t="n">
        <f aca="false">ABS(S30)</f>
        <v>11.1709480225989</v>
      </c>
      <c r="U30" s="10" t="n">
        <f aca="false">IFERROR((S30-AVERAGE($S$2:$S$61))/stdev.s($S$2:$S$61),"")</f>
        <v>-0.996544559848672</v>
      </c>
      <c r="V30" s="6" t="str">
        <f aca="false">IF(ABS(U30)&gt;=Source!$B$10,"Anomaly","")</f>
        <v/>
      </c>
      <c r="W30" s="8" t="n">
        <f aca="false">IF(A30&lt;=12,"",G30-INDEX($G:$G,ROW()-12))</f>
        <v>1.071</v>
      </c>
      <c r="X30" s="6" t="str">
        <f aca="false">IF(C30=2019,"Baseline",IF(C30&lt;=2021,"COVID shock",IF(C30=2022,"Reopening","Recovery")))</f>
        <v>COVID shock</v>
      </c>
      <c r="Y30" s="9" t="n">
        <f aca="false">IFERROR(ABS(S30/G30),"")</f>
        <v>5.52743593399251</v>
      </c>
    </row>
    <row r="31" customFormat="false" ht="15" hidden="false" customHeight="false" outlineLevel="0" collapsed="false">
      <c r="A31" s="6" t="n">
        <v>30</v>
      </c>
      <c r="B31" s="7" t="n">
        <v>44348</v>
      </c>
      <c r="C31" s="6" t="n">
        <f aca="false">YEAR(B31)</f>
        <v>2021</v>
      </c>
      <c r="D31" s="6" t="n">
        <f aca="false">MONTH(B31)</f>
        <v>6</v>
      </c>
      <c r="E31" s="6" t="str">
        <f aca="false">TEXT(B31,"mmm")</f>
        <v>Jun</v>
      </c>
      <c r="F31" s="6" t="s">
        <v>8</v>
      </c>
      <c r="G31" s="8" t="n">
        <v>2.021</v>
      </c>
      <c r="H31" s="8" t="n">
        <f aca="false">IFERROR(LN(G31),"")</f>
        <v>0.703592438421484</v>
      </c>
      <c r="I31" s="8" t="n">
        <f aca="false">IF(A31=1,"",G31-G30)</f>
        <v>0</v>
      </c>
      <c r="J31" s="9" t="n">
        <f aca="false">IFERROR(G31/INDEX($G:$G,MATCH(DATE(C31-1,D31,1),$B:$B,0))-1,"")</f>
        <v>1.12736842105263</v>
      </c>
      <c r="K31" s="8" t="n">
        <f aca="false">AVERAGE(G29:G31)</f>
        <v>2.021</v>
      </c>
      <c r="L31" s="8" t="n">
        <f aca="false">AVERAGE(G26:G31)</f>
        <v>1.80216666666667</v>
      </c>
      <c r="M31" s="8" t="n">
        <f aca="false">AVERAGE(G20:G31)</f>
        <v>1.5505</v>
      </c>
      <c r="N31" s="8" t="n">
        <f aca="false">AVERAGE(G26:G37)</f>
        <v>2.20625</v>
      </c>
      <c r="O31" s="9" t="n">
        <f aca="false">IFERROR(G31/G7,"")</f>
        <v>0.0683786709974286</v>
      </c>
      <c r="P31" s="8" t="n">
        <f aca="false">AVERAGEIFS($G:$G,$D:$D,D31,$C:$C,"&lt;="&amp;Source!$B$8)-AVERAGEIFS($G:$G,$C:$C,"&lt;="&amp;Source!$B$8)</f>
        <v>-1.10571666666667</v>
      </c>
      <c r="Q31" s="8" t="n">
        <f aca="false">G31-P31</f>
        <v>3.12671666666667</v>
      </c>
      <c r="R31" s="8" t="n">
        <f aca="false">INTERCEPT($G$2:$G$61,$A$2:$A$61)+SLOPE($G$2:$G$61,$A$2:$A$61)*A31</f>
        <v>13.0509937853107</v>
      </c>
      <c r="S31" s="8" t="n">
        <f aca="false">G31-R31</f>
        <v>-11.0299937853107</v>
      </c>
      <c r="T31" s="8" t="n">
        <f aca="false">ABS(S31)</f>
        <v>11.0299937853107</v>
      </c>
      <c r="U31" s="10" t="n">
        <f aca="false">IFERROR((S31-AVERAGE($S$2:$S$61))/stdev.s($S$2:$S$61),"")</f>
        <v>-0.983970230608849</v>
      </c>
      <c r="V31" s="6" t="str">
        <f aca="false">IF(ABS(U31)&gt;=Source!$B$10,"Anomaly","")</f>
        <v/>
      </c>
      <c r="W31" s="8" t="n">
        <f aca="false">IF(A31&lt;=12,"",G31-INDEX($G:$G,ROW()-12))</f>
        <v>1.071</v>
      </c>
      <c r="X31" s="6" t="str">
        <f aca="false">IF(C31=2019,"Baseline",IF(C31&lt;=2021,"COVID shock",IF(C31=2022,"Reopening","Recovery")))</f>
        <v>COVID shock</v>
      </c>
      <c r="Y31" s="9" t="n">
        <f aca="false">IFERROR(ABS(S31/G31),"")</f>
        <v>5.4576911357302</v>
      </c>
    </row>
    <row r="32" customFormat="false" ht="15" hidden="false" customHeight="false" outlineLevel="0" collapsed="false">
      <c r="A32" s="6" t="n">
        <v>31</v>
      </c>
      <c r="B32" s="7" t="n">
        <v>44378</v>
      </c>
      <c r="C32" s="6" t="n">
        <f aca="false">YEAR(B32)</f>
        <v>2021</v>
      </c>
      <c r="D32" s="6" t="n">
        <f aca="false">MONTH(B32)</f>
        <v>7</v>
      </c>
      <c r="E32" s="6" t="str">
        <f aca="false">TEXT(B32,"mmm")</f>
        <v>Jul</v>
      </c>
      <c r="F32" s="6" t="s">
        <v>8</v>
      </c>
      <c r="G32" s="8" t="n">
        <v>2.324</v>
      </c>
      <c r="H32" s="8" t="n">
        <f aca="false">IFERROR(LN(G32),"")</f>
        <v>0.843289838989665</v>
      </c>
      <c r="I32" s="8" t="n">
        <f aca="false">IF(A32=1,"",G32-G31)</f>
        <v>0.303</v>
      </c>
      <c r="J32" s="9" t="n">
        <f aca="false">IFERROR(G32/INDEX($G:$G,MATCH(DATE(C32-1,D32,1),$B:$B,0))-1,"")</f>
        <v>0.629733520336606</v>
      </c>
      <c r="K32" s="8" t="n">
        <f aca="false">AVERAGE(G30:G32)</f>
        <v>2.122</v>
      </c>
      <c r="L32" s="8" t="n">
        <f aca="false">AVERAGE(G27:G32)</f>
        <v>1.93683333333333</v>
      </c>
      <c r="M32" s="8" t="n">
        <f aca="false">AVERAGE(G21:G32)</f>
        <v>1.62533333333333</v>
      </c>
      <c r="N32" s="8" t="n">
        <f aca="false">AVERAGE(G27:G38)</f>
        <v>2.28433333333333</v>
      </c>
      <c r="O32" s="9" t="n">
        <f aca="false">IFERROR(G32/G8,"")</f>
        <v>0.0752785695776108</v>
      </c>
      <c r="P32" s="8" t="n">
        <f aca="false">AVERAGEIFS($G:$G,$D:$D,D32,$C:$C,"&lt;="&amp;Source!$B$8)-AVERAGEIFS($G:$G,$C:$C,"&lt;="&amp;Source!$B$8)</f>
        <v>0.120483333333333</v>
      </c>
      <c r="Q32" s="8" t="n">
        <f aca="false">G32-P32</f>
        <v>2.20351666666667</v>
      </c>
      <c r="R32" s="8" t="n">
        <f aca="false">INTERCEPT($G$2:$G$61,$A$2:$A$61)+SLOPE($G$2:$G$61,$A$2:$A$61)*A32</f>
        <v>12.9100395480226</v>
      </c>
      <c r="S32" s="8" t="n">
        <f aca="false">G32-R32</f>
        <v>-10.5860395480226</v>
      </c>
      <c r="T32" s="8" t="n">
        <f aca="false">ABS(S32)</f>
        <v>10.5860395480226</v>
      </c>
      <c r="U32" s="10" t="n">
        <f aca="false">IFERROR((S32-AVERAGE($S$2:$S$61))/stdev.s($S$2:$S$61),"")</f>
        <v>-0.944365697574031</v>
      </c>
      <c r="V32" s="6" t="str">
        <f aca="false">IF(ABS(U32)&gt;=Source!$B$10,"Anomaly","")</f>
        <v/>
      </c>
      <c r="W32" s="8" t="n">
        <f aca="false">IF(A32&lt;=12,"",G32-INDEX($G:$G,ROW()-12))</f>
        <v>0.898</v>
      </c>
      <c r="X32" s="6" t="str">
        <f aca="false">IF(C32=2019,"Baseline",IF(C32&lt;=2021,"COVID shock",IF(C32=2022,"Reopening","Recovery")))</f>
        <v>COVID shock</v>
      </c>
      <c r="Y32" s="9" t="n">
        <f aca="false">IFERROR(ABS(S32/G32),"")</f>
        <v>4.55509446988924</v>
      </c>
    </row>
    <row r="33" customFormat="false" ht="15" hidden="false" customHeight="false" outlineLevel="0" collapsed="false">
      <c r="A33" s="6" t="n">
        <v>32</v>
      </c>
      <c r="B33" s="7" t="n">
        <v>44409</v>
      </c>
      <c r="C33" s="6" t="n">
        <f aca="false">YEAR(B33)</f>
        <v>2021</v>
      </c>
      <c r="D33" s="6" t="n">
        <f aca="false">MONTH(B33)</f>
        <v>8</v>
      </c>
      <c r="E33" s="6" t="str">
        <f aca="false">TEXT(B33,"mmm")</f>
        <v>Aug</v>
      </c>
      <c r="F33" s="6" t="s">
        <v>8</v>
      </c>
      <c r="G33" s="8" t="n">
        <v>2.122</v>
      </c>
      <c r="H33" s="8" t="n">
        <f aca="false">IFERROR(LN(G33),"")</f>
        <v>0.752359040191791</v>
      </c>
      <c r="I33" s="8" t="n">
        <f aca="false">IF(A33=1,"",G33-G32)</f>
        <v>-0.202</v>
      </c>
      <c r="J33" s="9" t="n">
        <f aca="false">IFERROR(G33/INDEX($G:$G,MATCH(DATE(C33-1,D33,1),$B:$B,0))-1,"")</f>
        <v>-0.106902356902357</v>
      </c>
      <c r="K33" s="8" t="n">
        <f aca="false">AVERAGE(G31:G33)</f>
        <v>2.15566666666667</v>
      </c>
      <c r="L33" s="8" t="n">
        <f aca="false">AVERAGE(G28:G33)</f>
        <v>2.03783333333333</v>
      </c>
      <c r="M33" s="8" t="n">
        <f aca="false">AVERAGE(G22:G33)</f>
        <v>1.60416666666667</v>
      </c>
      <c r="N33" s="8" t="n">
        <f aca="false">AVERAGE(G28:G39)</f>
        <v>2.37133333333333</v>
      </c>
      <c r="O33" s="9" t="n">
        <f aca="false">IFERROR(G33/G9,"")</f>
        <v>0.0698807877231114</v>
      </c>
      <c r="P33" s="8" t="n">
        <f aca="false">AVERAGEIFS($G:$G,$D:$D,D33,$C:$C,"&lt;="&amp;Source!$B$8)-AVERAGEIFS($G:$G,$C:$C,"&lt;="&amp;Source!$B$8)</f>
        <v>0.269483333333334</v>
      </c>
      <c r="Q33" s="8" t="n">
        <f aca="false">G33-P33</f>
        <v>1.85251666666667</v>
      </c>
      <c r="R33" s="8" t="n">
        <f aca="false">INTERCEPT($G$2:$G$61,$A$2:$A$61)+SLOPE($G$2:$G$61,$A$2:$A$61)*A33</f>
        <v>12.7690853107345</v>
      </c>
      <c r="S33" s="8" t="n">
        <f aca="false">G33-R33</f>
        <v>-10.6470853107345</v>
      </c>
      <c r="T33" s="8" t="n">
        <f aca="false">ABS(S33)</f>
        <v>10.6470853107345</v>
      </c>
      <c r="U33" s="10" t="n">
        <f aca="false">IFERROR((S33-AVERAGE($S$2:$S$61))/stdev.s($S$2:$S$61),"")</f>
        <v>-0.949811504197537</v>
      </c>
      <c r="V33" s="6" t="str">
        <f aca="false">IF(ABS(U33)&gt;=Source!$B$10,"Anomaly","")</f>
        <v/>
      </c>
      <c r="W33" s="8" t="n">
        <f aca="false">IF(A33&lt;=12,"",G33-INDEX($G:$G,ROW()-12))</f>
        <v>-0.254</v>
      </c>
      <c r="X33" s="6" t="str">
        <f aca="false">IF(C33=2019,"Baseline",IF(C33&lt;=2021,"COVID shock",IF(C33=2022,"Reopening","Recovery")))</f>
        <v>COVID shock</v>
      </c>
      <c r="Y33" s="9" t="n">
        <f aca="false">IFERROR(ABS(S33/G33),"")</f>
        <v>5.01747658375799</v>
      </c>
    </row>
    <row r="34" customFormat="false" ht="15" hidden="false" customHeight="false" outlineLevel="0" collapsed="false">
      <c r="A34" s="6" t="n">
        <v>33</v>
      </c>
      <c r="B34" s="7" t="n">
        <v>44440</v>
      </c>
      <c r="C34" s="6" t="n">
        <f aca="false">YEAR(B34)</f>
        <v>2021</v>
      </c>
      <c r="D34" s="6" t="n">
        <f aca="false">MONTH(B34)</f>
        <v>9</v>
      </c>
      <c r="E34" s="6" t="str">
        <f aca="false">TEXT(B34,"mmm")</f>
        <v>Sep</v>
      </c>
      <c r="F34" s="6" t="s">
        <v>8</v>
      </c>
      <c r="G34" s="8" t="n">
        <v>2.021</v>
      </c>
      <c r="H34" s="8" t="n">
        <f aca="false">IFERROR(LN(G34),"")</f>
        <v>0.703592438421484</v>
      </c>
      <c r="I34" s="8" t="n">
        <f aca="false">IF(A34=1,"",G34-G33)</f>
        <v>-0.101</v>
      </c>
      <c r="J34" s="9" t="n">
        <f aca="false">IFERROR(G34/INDEX($G:$G,MATCH(DATE(C34-1,D34,1),$B:$B,0))-1,"")</f>
        <v>0.0631246712256706</v>
      </c>
      <c r="K34" s="8" t="n">
        <f aca="false">AVERAGE(G32:G34)</f>
        <v>2.15566666666667</v>
      </c>
      <c r="L34" s="8" t="n">
        <f aca="false">AVERAGE(G29:G34)</f>
        <v>2.08833333333333</v>
      </c>
      <c r="M34" s="8" t="n">
        <f aca="false">AVERAGE(G23:G34)</f>
        <v>1.61416666666667</v>
      </c>
      <c r="N34" s="8" t="n">
        <f aca="false">AVERAGE(G29:G40)</f>
        <v>2.47708333333333</v>
      </c>
      <c r="O34" s="9" t="n">
        <f aca="false">IFERROR(G34/G10,"")</f>
        <v>0.0745014192501935</v>
      </c>
      <c r="P34" s="8" t="n">
        <f aca="false">AVERAGEIFS($G:$G,$D:$D,D34,$C:$C,"&lt;="&amp;Source!$B$8)-AVERAGEIFS($G:$G,$C:$C,"&lt;="&amp;Source!$B$8)</f>
        <v>-0.812516666666667</v>
      </c>
      <c r="Q34" s="8" t="n">
        <f aca="false">G34-P34</f>
        <v>2.83351666666667</v>
      </c>
      <c r="R34" s="8" t="n">
        <f aca="false">INTERCEPT($G$2:$G$61,$A$2:$A$61)+SLOPE($G$2:$G$61,$A$2:$A$61)*A34</f>
        <v>12.6281310734463</v>
      </c>
      <c r="S34" s="8" t="n">
        <f aca="false">G34-R34</f>
        <v>-10.6071310734463</v>
      </c>
      <c r="T34" s="8" t="n">
        <f aca="false">ABS(S34)</f>
        <v>10.6071310734463</v>
      </c>
      <c r="U34" s="10" t="n">
        <f aca="false">IFERROR((S34-AVERAGE($S$2:$S$61))/stdev.s($S$2:$S$61),"")</f>
        <v>-0.946247242889379</v>
      </c>
      <c r="V34" s="6" t="str">
        <f aca="false">IF(ABS(U34)&gt;=Source!$B$10,"Anomaly","")</f>
        <v/>
      </c>
      <c r="W34" s="8" t="n">
        <f aca="false">IF(A34&lt;=12,"",G34-INDEX($G:$G,ROW()-12))</f>
        <v>0.12</v>
      </c>
      <c r="X34" s="6" t="str">
        <f aca="false">IF(C34=2019,"Baseline",IF(C34&lt;=2021,"COVID shock",IF(C34=2022,"Reopening","Recovery")))</f>
        <v>COVID shock</v>
      </c>
      <c r="Y34" s="9" t="n">
        <f aca="false">IFERROR(ABS(S34/G34),"")</f>
        <v>5.24845674094326</v>
      </c>
    </row>
    <row r="35" customFormat="false" ht="15" hidden="false" customHeight="false" outlineLevel="0" collapsed="false">
      <c r="A35" s="6" t="n">
        <v>34</v>
      </c>
      <c r="B35" s="7" t="n">
        <v>44470</v>
      </c>
      <c r="C35" s="6" t="n">
        <f aca="false">YEAR(B35)</f>
        <v>2021</v>
      </c>
      <c r="D35" s="6" t="n">
        <f aca="false">MONTH(B35)</f>
        <v>10</v>
      </c>
      <c r="E35" s="6" t="str">
        <f aca="false">TEXT(B35,"mmm")</f>
        <v>Oct</v>
      </c>
      <c r="F35" s="6" t="s">
        <v>8</v>
      </c>
      <c r="G35" s="8" t="n">
        <v>2.324</v>
      </c>
      <c r="H35" s="8" t="n">
        <f aca="false">IFERROR(LN(G35),"")</f>
        <v>0.843289838989665</v>
      </c>
      <c r="I35" s="8" t="n">
        <f aca="false">IF(A35=1,"",G35-G34)</f>
        <v>0.303</v>
      </c>
      <c r="J35" s="9" t="n">
        <f aca="false">IFERROR(G35/INDEX($G:$G,MATCH(DATE(C35-1,D35,1),$B:$B,0))-1,"")</f>
        <v>2.05789473684211</v>
      </c>
      <c r="K35" s="8" t="n">
        <f aca="false">AVERAGE(G33:G35)</f>
        <v>2.15566666666667</v>
      </c>
      <c r="L35" s="8" t="n">
        <f aca="false">AVERAGE(G30:G35)</f>
        <v>2.13883333333333</v>
      </c>
      <c r="M35" s="8" t="n">
        <f aca="false">AVERAGE(G24:G35)</f>
        <v>1.7445</v>
      </c>
      <c r="N35" s="8" t="n">
        <f aca="false">AVERAGE(G30:G41)</f>
        <v>2.66425</v>
      </c>
      <c r="O35" s="9" t="n">
        <f aca="false">IFERROR(G35/G11,"")</f>
        <v>0.0791714928118825</v>
      </c>
      <c r="P35" s="8" t="n">
        <f aca="false">AVERAGEIFS($G:$G,$D:$D,D35,$C:$C,"&lt;="&amp;Source!$B$8)-AVERAGEIFS($G:$G,$C:$C,"&lt;="&amp;Source!$B$8)</f>
        <v>0.087883333333334</v>
      </c>
      <c r="Q35" s="8" t="n">
        <f aca="false">G35-P35</f>
        <v>2.23611666666667</v>
      </c>
      <c r="R35" s="8" t="n">
        <f aca="false">INTERCEPT($G$2:$G$61,$A$2:$A$61)+SLOPE($G$2:$G$61,$A$2:$A$61)*A35</f>
        <v>12.4871768361582</v>
      </c>
      <c r="S35" s="8" t="n">
        <f aca="false">G35-R35</f>
        <v>-10.1631768361582</v>
      </c>
      <c r="T35" s="8" t="n">
        <f aca="false">ABS(S35)</f>
        <v>10.1631768361582</v>
      </c>
      <c r="U35" s="10" t="n">
        <f aca="false">IFERROR((S35-AVERAGE($S$2:$S$61))/stdev.s($S$2:$S$61),"")</f>
        <v>-0.906642709854561</v>
      </c>
      <c r="V35" s="6" t="str">
        <f aca="false">IF(ABS(U35)&gt;=Source!$B$10,"Anomaly","")</f>
        <v/>
      </c>
      <c r="W35" s="8" t="n">
        <f aca="false">IF(A35&lt;=12,"",G35-INDEX($G:$G,ROW()-12))</f>
        <v>1.564</v>
      </c>
      <c r="X35" s="6" t="str">
        <f aca="false">IF(C35=2019,"Baseline",IF(C35&lt;=2021,"COVID shock",IF(C35=2022,"Reopening","Recovery")))</f>
        <v>COVID shock</v>
      </c>
      <c r="Y35" s="9" t="n">
        <f aca="false">IFERROR(ABS(S35/G35),"")</f>
        <v>4.37313977459475</v>
      </c>
    </row>
    <row r="36" customFormat="false" ht="15" hidden="false" customHeight="false" outlineLevel="0" collapsed="false">
      <c r="A36" s="6" t="n">
        <v>35</v>
      </c>
      <c r="B36" s="7" t="n">
        <v>44501</v>
      </c>
      <c r="C36" s="6" t="n">
        <f aca="false">YEAR(B36)</f>
        <v>2021</v>
      </c>
      <c r="D36" s="6" t="n">
        <f aca="false">MONTH(B36)</f>
        <v>11</v>
      </c>
      <c r="E36" s="6" t="str">
        <f aca="false">TEXT(B36,"mmm")</f>
        <v>Nov</v>
      </c>
      <c r="F36" s="6" t="s">
        <v>8</v>
      </c>
      <c r="G36" s="8" t="n">
        <v>3.031</v>
      </c>
      <c r="H36" s="8" t="n">
        <f aca="false">IFERROR(LN(G36),"")</f>
        <v>1.10889259807567</v>
      </c>
      <c r="I36" s="8" t="n">
        <f aca="false">IF(A36=1,"",G36-G35)</f>
        <v>0.707</v>
      </c>
      <c r="J36" s="9" t="n">
        <f aca="false">IFERROR(G36/INDEX($G:$G,MATCH(DATE(C36-1,D36,1),$B:$B,0))-1,"")</f>
        <v>4.31754385964912</v>
      </c>
      <c r="K36" s="8" t="n">
        <f aca="false">AVERAGE(G34:G36)</f>
        <v>2.45866666666667</v>
      </c>
      <c r="L36" s="8" t="n">
        <f aca="false">AVERAGE(G31:G36)</f>
        <v>2.30716666666667</v>
      </c>
      <c r="M36" s="8" t="n">
        <f aca="false">AVERAGE(G25:G36)</f>
        <v>1.94958333333333</v>
      </c>
      <c r="N36" s="8" t="n">
        <f aca="false">AVERAGE(G31:G42)</f>
        <v>2.97583333333333</v>
      </c>
      <c r="O36" s="9" t="n">
        <f aca="false">IFERROR(G36/G12,"")</f>
        <v>0.102551089457301</v>
      </c>
      <c r="P36" s="8" t="n">
        <f aca="false">AVERAGEIFS($G:$G,$D:$D,D36,$C:$C,"&lt;="&amp;Source!$B$8)-AVERAGEIFS($G:$G,$C:$C,"&lt;="&amp;Source!$B$8)</f>
        <v>0.672283333333333</v>
      </c>
      <c r="Q36" s="8" t="n">
        <f aca="false">G36-P36</f>
        <v>2.35871666666667</v>
      </c>
      <c r="R36" s="8" t="n">
        <f aca="false">INTERCEPT($G$2:$G$61,$A$2:$A$61)+SLOPE($G$2:$G$61,$A$2:$A$61)*A36</f>
        <v>12.3462225988701</v>
      </c>
      <c r="S36" s="8" t="n">
        <f aca="false">G36-R36</f>
        <v>-9.31522259887005</v>
      </c>
      <c r="T36" s="8" t="n">
        <f aca="false">ABS(S36)</f>
        <v>9.31522259887005</v>
      </c>
      <c r="U36" s="10" t="n">
        <f aca="false">IFERROR((S36-AVERAGE($S$2:$S$61))/stdev.s($S$2:$S$61),"")</f>
        <v>-0.830997905093082</v>
      </c>
      <c r="V36" s="6" t="str">
        <f aca="false">IF(ABS(U36)&gt;=Source!$B$10,"Anomaly","")</f>
        <v/>
      </c>
      <c r="W36" s="8" t="n">
        <f aca="false">IF(A36&lt;=12,"",G36-INDEX($G:$G,ROW()-12))</f>
        <v>2.461</v>
      </c>
      <c r="X36" s="6" t="str">
        <f aca="false">IF(C36=2019,"Baseline",IF(C36&lt;=2021,"COVID shock",IF(C36=2022,"Reopening","Recovery")))</f>
        <v>COVID shock</v>
      </c>
      <c r="Y36" s="9" t="n">
        <f aca="false">IFERROR(ABS(S36/G36),"")</f>
        <v>3.07331659481031</v>
      </c>
    </row>
    <row r="37" customFormat="false" ht="15" hidden="false" customHeight="false" outlineLevel="0" collapsed="false">
      <c r="A37" s="6" t="n">
        <v>36</v>
      </c>
      <c r="B37" s="7" t="n">
        <v>44531</v>
      </c>
      <c r="C37" s="6" t="n">
        <f aca="false">YEAR(B37)</f>
        <v>2021</v>
      </c>
      <c r="D37" s="6" t="n">
        <f aca="false">MONTH(B37)</f>
        <v>12</v>
      </c>
      <c r="E37" s="6" t="str">
        <f aca="false">TEXT(B37,"mmm")</f>
        <v>Dec</v>
      </c>
      <c r="F37" s="6" t="s">
        <v>8</v>
      </c>
      <c r="G37" s="8" t="n">
        <v>3.84</v>
      </c>
      <c r="H37" s="8" t="n">
        <f aca="false">IFERROR(LN(G37),"")</f>
        <v>1.34547236659964</v>
      </c>
      <c r="I37" s="8" t="n">
        <f aca="false">IF(A37=1,"",G37-G36)</f>
        <v>0.809</v>
      </c>
      <c r="J37" s="9" t="n">
        <f aca="false">IFERROR(G37/INDEX($G:$G,MATCH(DATE(C37-1,D37,1),$B:$B,0))-1,"")</f>
        <v>4.05263157894737</v>
      </c>
      <c r="K37" s="8" t="n">
        <f aca="false">AVERAGE(G35:G37)</f>
        <v>3.065</v>
      </c>
      <c r="L37" s="8" t="n">
        <f aca="false">AVERAGE(G32:G37)</f>
        <v>2.61033333333333</v>
      </c>
      <c r="M37" s="8" t="n">
        <f aca="false">AVERAGE(G26:G37)</f>
        <v>2.20625</v>
      </c>
      <c r="N37" s="8" t="n">
        <f aca="false">AVERAGE(G32:G43)</f>
        <v>3.41183333333333</v>
      </c>
      <c r="O37" s="9" t="n">
        <f aca="false">IFERROR(G37/G13,"")</f>
        <v>0.12120446941481</v>
      </c>
      <c r="P37" s="8" t="n">
        <f aca="false">AVERAGEIFS($G:$G,$D:$D,D37,$C:$C,"&lt;="&amp;Source!$B$8)-AVERAGEIFS($G:$G,$C:$C,"&lt;="&amp;Source!$B$8)</f>
        <v>2.62048333333333</v>
      </c>
      <c r="Q37" s="8" t="n">
        <f aca="false">G37-P37</f>
        <v>1.21951666666667</v>
      </c>
      <c r="R37" s="8" t="n">
        <f aca="false">INTERCEPT($G$2:$G$61,$A$2:$A$61)+SLOPE($G$2:$G$61,$A$2:$A$61)*A37</f>
        <v>12.2052683615819</v>
      </c>
      <c r="S37" s="8" t="n">
        <f aca="false">G37-R37</f>
        <v>-8.36526836158192</v>
      </c>
      <c r="T37" s="8" t="n">
        <f aca="false">ABS(S37)</f>
        <v>8.36526836158192</v>
      </c>
      <c r="U37" s="10" t="n">
        <f aca="false">IFERROR((S37-AVERAGE($S$2:$S$61))/stdev.s($S$2:$S$61),"")</f>
        <v>-0.746253823806555</v>
      </c>
      <c r="V37" s="6" t="str">
        <f aca="false">IF(ABS(U37)&gt;=Source!$B$10,"Anomaly","")</f>
        <v/>
      </c>
      <c r="W37" s="8" t="n">
        <f aca="false">IF(A37&lt;=12,"",G37-INDEX($G:$G,ROW()-12))</f>
        <v>3.08</v>
      </c>
      <c r="X37" s="6" t="str">
        <f aca="false">IF(C37=2019,"Baseline",IF(C37&lt;=2021,"COVID shock",IF(C37=2022,"Reopening","Recovery")))</f>
        <v>COVID shock</v>
      </c>
      <c r="Y37" s="9" t="n">
        <f aca="false">IFERROR(ABS(S37/G37),"")</f>
        <v>2.17845530249529</v>
      </c>
    </row>
    <row r="38" customFormat="false" ht="15" hidden="false" customHeight="false" outlineLevel="0" collapsed="false">
      <c r="A38" s="6" t="n">
        <v>37</v>
      </c>
      <c r="B38" s="7" t="n">
        <v>44562</v>
      </c>
      <c r="C38" s="6" t="n">
        <f aca="false">YEAR(B38)</f>
        <v>2022</v>
      </c>
      <c r="D38" s="6" t="n">
        <f aca="false">MONTH(B38)</f>
        <v>1</v>
      </c>
      <c r="E38" s="6" t="str">
        <f aca="false">TEXT(B38,"mmm")</f>
        <v>Jan</v>
      </c>
      <c r="F38" s="6" t="s">
        <v>8</v>
      </c>
      <c r="G38" s="8" t="n">
        <v>2.453</v>
      </c>
      <c r="H38" s="8" t="n">
        <f aca="false">IFERROR(LN(G38),"")</f>
        <v>0.897311765276352</v>
      </c>
      <c r="I38" s="8" t="n">
        <f aca="false">IF(A38=1,"",G38-G37)</f>
        <v>-1.387</v>
      </c>
      <c r="J38" s="9" t="n">
        <f aca="false">IFERROR(G38/INDEX($G:$G,MATCH(DATE(C38-1,D38,1),$B:$B,0))-1,"")</f>
        <v>0.618073878627968</v>
      </c>
      <c r="K38" s="8" t="n">
        <f aca="false">AVERAGE(G36:G38)</f>
        <v>3.108</v>
      </c>
      <c r="L38" s="8" t="n">
        <f aca="false">AVERAGE(G33:G38)</f>
        <v>2.63183333333333</v>
      </c>
      <c r="M38" s="8" t="n">
        <f aca="false">AVERAGE(G27:G38)</f>
        <v>2.28433333333333</v>
      </c>
      <c r="N38" s="8" t="n">
        <f aca="false">AVERAGE(G33:G44)</f>
        <v>3.9915</v>
      </c>
      <c r="O38" s="9" t="n">
        <f aca="false">IFERROR(G38/G2,"")</f>
        <v>0.0794571132417725</v>
      </c>
      <c r="P38" s="8" t="n">
        <f aca="false">AVERAGEIFS($G:$G,$D:$D,D38,$C:$C,"&lt;="&amp;Source!$B$8)-AVERAGEIFS($G:$G,$C:$C,"&lt;="&amp;Source!$B$8)</f>
        <v>2.60408333333333</v>
      </c>
      <c r="Q38" s="8" t="n">
        <f aca="false">G38-P38</f>
        <v>-0.151083333333334</v>
      </c>
      <c r="R38" s="8" t="n">
        <f aca="false">INTERCEPT($G$2:$G$61,$A$2:$A$61)+SLOPE($G$2:$G$61,$A$2:$A$61)*A38</f>
        <v>12.0643141242938</v>
      </c>
      <c r="S38" s="8" t="n">
        <f aca="false">G38-R38</f>
        <v>-9.61131412429378</v>
      </c>
      <c r="T38" s="8" t="n">
        <f aca="false">ABS(S38)</f>
        <v>9.61131412429378</v>
      </c>
      <c r="U38" s="10" t="n">
        <f aca="false">IFERROR((S38-AVERAGE($S$2:$S$61))/stdev.s($S$2:$S$61),"")</f>
        <v>-0.857411813588707</v>
      </c>
      <c r="V38" s="6" t="str">
        <f aca="false">IF(ABS(U38)&gt;=Source!$B$10,"Anomaly","")</f>
        <v/>
      </c>
      <c r="W38" s="8" t="n">
        <f aca="false">IF(A38&lt;=12,"",G38-INDEX($G:$G,ROW()-12))</f>
        <v>0.937</v>
      </c>
      <c r="X38" s="6" t="str">
        <f aca="false">IF(C38=2019,"Baseline",IF(C38&lt;=2021,"COVID shock",IF(C38=2022,"Reopening","Recovery")))</f>
        <v>Reopening</v>
      </c>
      <c r="Y38" s="9" t="n">
        <f aca="false">IFERROR(ABS(S38/G38),"")</f>
        <v>3.91818757614912</v>
      </c>
    </row>
    <row r="39" customFormat="false" ht="15" hidden="false" customHeight="false" outlineLevel="0" collapsed="false">
      <c r="A39" s="6" t="n">
        <v>38</v>
      </c>
      <c r="B39" s="7" t="n">
        <v>44593</v>
      </c>
      <c r="C39" s="6" t="n">
        <f aca="false">YEAR(B39)</f>
        <v>2022</v>
      </c>
      <c r="D39" s="6" t="n">
        <f aca="false">MONTH(B39)</f>
        <v>2</v>
      </c>
      <c r="E39" s="6" t="str">
        <f aca="false">TEXT(B39,"mmm")</f>
        <v>Feb</v>
      </c>
      <c r="F39" s="6" t="s">
        <v>8</v>
      </c>
      <c r="G39" s="8" t="n">
        <v>2.56</v>
      </c>
      <c r="H39" s="8" t="n">
        <f aca="false">IFERROR(LN(G39),"")</f>
        <v>0.940007258491471</v>
      </c>
      <c r="I39" s="8" t="n">
        <f aca="false">IF(A39=1,"",G39-G38)</f>
        <v>0.107</v>
      </c>
      <c r="J39" s="9" t="n">
        <f aca="false">IFERROR(G39/INDEX($G:$G,MATCH(DATE(C39-1,D39,1),$B:$B,0))-1,"")</f>
        <v>0.688654353562005</v>
      </c>
      <c r="K39" s="8" t="n">
        <f aca="false">AVERAGE(G37:G39)</f>
        <v>2.951</v>
      </c>
      <c r="L39" s="8" t="n">
        <f aca="false">AVERAGE(G34:G39)</f>
        <v>2.70483333333333</v>
      </c>
      <c r="M39" s="8" t="n">
        <f aca="false">AVERAGE(G28:G39)</f>
        <v>2.37133333333333</v>
      </c>
      <c r="N39" s="8" t="n">
        <f aca="false">AVERAGE(G34:G45)</f>
        <v>4.588</v>
      </c>
      <c r="O39" s="9" t="n">
        <f aca="false">IFERROR(G39/G3,"")</f>
        <v>0.084304814595271</v>
      </c>
      <c r="P39" s="8" t="n">
        <f aca="false">AVERAGEIFS($G:$G,$D:$D,D39,$C:$C,"&lt;="&amp;Source!$B$8)-AVERAGEIFS($G:$G,$C:$C,"&lt;="&amp;Source!$B$8)</f>
        <v>0.254283333333332</v>
      </c>
      <c r="Q39" s="8" t="n">
        <f aca="false">G39-P39</f>
        <v>2.30571666666667</v>
      </c>
      <c r="R39" s="8" t="n">
        <f aca="false">INTERCEPT($G$2:$G$61,$A$2:$A$61)+SLOPE($G$2:$G$61,$A$2:$A$61)*A39</f>
        <v>11.9233598870056</v>
      </c>
      <c r="S39" s="8" t="n">
        <f aca="false">G39-R39</f>
        <v>-9.36335988700565</v>
      </c>
      <c r="T39" s="8" t="n">
        <f aca="false">ABS(S39)</f>
        <v>9.36335988700565</v>
      </c>
      <c r="U39" s="10" t="n">
        <f aca="false">IFERROR((S39-AVERAGE($S$2:$S$61))/stdev.s($S$2:$S$61),"")</f>
        <v>-0.835292164856922</v>
      </c>
      <c r="V39" s="6" t="str">
        <f aca="false">IF(ABS(U39)&gt;=Source!$B$10,"Anomaly","")</f>
        <v/>
      </c>
      <c r="W39" s="8" t="n">
        <f aca="false">IF(A39&lt;=12,"",G39-INDEX($G:$G,ROW()-12))</f>
        <v>1.044</v>
      </c>
      <c r="X39" s="6" t="str">
        <f aca="false">IF(C39=2019,"Baseline",IF(C39&lt;=2021,"COVID shock",IF(C39=2022,"Reopening","Recovery")))</f>
        <v>Reopening</v>
      </c>
      <c r="Y39" s="9" t="n">
        <f aca="false">IFERROR(ABS(S39/G39),"")</f>
        <v>3.65756245586158</v>
      </c>
    </row>
    <row r="40" customFormat="false" ht="15" hidden="false" customHeight="false" outlineLevel="0" collapsed="false">
      <c r="A40" s="6" t="n">
        <v>39</v>
      </c>
      <c r="B40" s="7" t="n">
        <v>44621</v>
      </c>
      <c r="C40" s="6" t="n">
        <f aca="false">YEAR(B40)</f>
        <v>2022</v>
      </c>
      <c r="D40" s="6" t="n">
        <f aca="false">MONTH(B40)</f>
        <v>3</v>
      </c>
      <c r="E40" s="6" t="str">
        <f aca="false">TEXT(B40,"mmm")</f>
        <v>Mar</v>
      </c>
      <c r="F40" s="6" t="s">
        <v>8</v>
      </c>
      <c r="G40" s="8" t="n">
        <v>2.987</v>
      </c>
      <c r="H40" s="8" t="n">
        <f aca="false">IFERROR(LN(G40),"")</f>
        <v>1.09426953923397</v>
      </c>
      <c r="I40" s="8" t="n">
        <f aca="false">IF(A40=1,"",G40-G39)</f>
        <v>0.427</v>
      </c>
      <c r="J40" s="9" t="n">
        <f aca="false">IFERROR(G40/INDEX($G:$G,MATCH(DATE(C40-1,D40,1),$B:$B,0))-1,"")</f>
        <v>0.738649592549476</v>
      </c>
      <c r="K40" s="8" t="n">
        <f aca="false">AVERAGE(G38:G40)</f>
        <v>2.66666666666667</v>
      </c>
      <c r="L40" s="8" t="n">
        <f aca="false">AVERAGE(G35:G40)</f>
        <v>2.86583333333333</v>
      </c>
      <c r="M40" s="8" t="n">
        <f aca="false">AVERAGE(G29:G40)</f>
        <v>2.47708333333333</v>
      </c>
      <c r="N40" s="8" t="n">
        <f aca="false">AVERAGE(G35:G46)</f>
        <v>5.21075</v>
      </c>
      <c r="O40" s="9" t="n">
        <f aca="false">IFERROR(G40/G4,"")</f>
        <v>0.0933875254025324</v>
      </c>
      <c r="P40" s="8" t="n">
        <f aca="false">AVERAGEIFS($G:$G,$D:$D,D40,$C:$C,"&lt;="&amp;Source!$B$8)-AVERAGEIFS($G:$G,$C:$C,"&lt;="&amp;Source!$B$8)</f>
        <v>-1.36531666666667</v>
      </c>
      <c r="Q40" s="8" t="n">
        <f aca="false">G40-P40</f>
        <v>4.35231666666667</v>
      </c>
      <c r="R40" s="8" t="n">
        <f aca="false">INTERCEPT($G$2:$G$61,$A$2:$A$61)+SLOPE($G$2:$G$61,$A$2:$A$61)*A40</f>
        <v>11.7824056497175</v>
      </c>
      <c r="S40" s="8" t="n">
        <f aca="false">G40-R40</f>
        <v>-8.79540564971751</v>
      </c>
      <c r="T40" s="8" t="n">
        <f aca="false">ABS(S40)</f>
        <v>8.79540564971751</v>
      </c>
      <c r="U40" s="10" t="n">
        <f aca="false">IFERROR((S40-AVERAGE($S$2:$S$61))/stdev.s($S$2:$S$61),"")</f>
        <v>-0.784625766242633</v>
      </c>
      <c r="V40" s="6" t="str">
        <f aca="false">IF(ABS(U40)&gt;=Source!$B$10,"Anomaly","")</f>
        <v/>
      </c>
      <c r="W40" s="8" t="n">
        <f aca="false">IF(A40&lt;=12,"",G40-INDEX($G:$G,ROW()-12))</f>
        <v>1.269</v>
      </c>
      <c r="X40" s="6" t="str">
        <f aca="false">IF(C40=2019,"Baseline",IF(C40&lt;=2021,"COVID shock",IF(C40=2022,"Reopening","Recovery")))</f>
        <v>Reopening</v>
      </c>
      <c r="Y40" s="9" t="n">
        <f aca="false">IFERROR(ABS(S40/G40),"")</f>
        <v>2.94456165039086</v>
      </c>
    </row>
    <row r="41" customFormat="false" ht="15" hidden="false" customHeight="false" outlineLevel="0" collapsed="false">
      <c r="A41" s="6" t="n">
        <v>40</v>
      </c>
      <c r="B41" s="7" t="n">
        <v>44652</v>
      </c>
      <c r="C41" s="6" t="n">
        <f aca="false">YEAR(B41)</f>
        <v>2022</v>
      </c>
      <c r="D41" s="6" t="n">
        <f aca="false">MONTH(B41)</f>
        <v>4</v>
      </c>
      <c r="E41" s="6" t="str">
        <f aca="false">TEXT(B41,"mmm")</f>
        <v>Apr</v>
      </c>
      <c r="F41" s="6" t="s">
        <v>8</v>
      </c>
      <c r="G41" s="8" t="n">
        <v>4.267</v>
      </c>
      <c r="H41" s="8" t="n">
        <f aca="false">IFERROR(LN(G41),"")</f>
        <v>1.45091100420586</v>
      </c>
      <c r="I41" s="8" t="n">
        <f aca="false">IF(A41=1,"",G41-G40)</f>
        <v>1.28</v>
      </c>
      <c r="J41" s="9" t="n">
        <f aca="false">IFERROR(G41/INDEX($G:$G,MATCH(DATE(C41-1,D41,1),$B:$B,0))-1,"")</f>
        <v>1.11133102424542</v>
      </c>
      <c r="K41" s="8" t="n">
        <f aca="false">AVERAGE(G39:G41)</f>
        <v>3.27133333333333</v>
      </c>
      <c r="L41" s="8" t="n">
        <f aca="false">AVERAGE(G36:G41)</f>
        <v>3.18966666666667</v>
      </c>
      <c r="M41" s="8" t="n">
        <f aca="false">AVERAGE(G30:G41)</f>
        <v>2.66425</v>
      </c>
      <c r="N41" s="8" t="n">
        <f aca="false">AVERAGE(G36:G47)</f>
        <v>5.95041666666667</v>
      </c>
      <c r="O41" s="9" t="n">
        <f aca="false">IFERROR(G41/G5,"")</f>
        <v>0.135112884329185</v>
      </c>
      <c r="P41" s="8" t="n">
        <f aca="false">AVERAGEIFS($G:$G,$D:$D,D41,$C:$C,"&lt;="&amp;Source!$B$8)-AVERAGEIFS($G:$G,$C:$C,"&lt;="&amp;Source!$B$8)</f>
        <v>-1.59931666666667</v>
      </c>
      <c r="Q41" s="8" t="n">
        <f aca="false">G41-P41</f>
        <v>5.86631666666667</v>
      </c>
      <c r="R41" s="8" t="n">
        <f aca="false">INTERCEPT($G$2:$G$61,$A$2:$A$61)+SLOPE($G$2:$G$61,$A$2:$A$61)*A41</f>
        <v>11.6414514124294</v>
      </c>
      <c r="S41" s="8" t="n">
        <f aca="false">G41-R41</f>
        <v>-7.37445141242938</v>
      </c>
      <c r="T41" s="8" t="n">
        <f aca="false">ABS(S41)</f>
        <v>7.37445141242938</v>
      </c>
      <c r="U41" s="10" t="n">
        <f aca="false">IFERROR((S41-AVERAGE($S$2:$S$61))/stdev.s($S$2:$S$61),"")</f>
        <v>-0.657864437472797</v>
      </c>
      <c r="V41" s="6" t="str">
        <f aca="false">IF(ABS(U41)&gt;=Source!$B$10,"Anomaly","")</f>
        <v/>
      </c>
      <c r="W41" s="8" t="n">
        <f aca="false">IF(A41&lt;=12,"",G41-INDEX($G:$G,ROW()-12))</f>
        <v>2.246</v>
      </c>
      <c r="X41" s="6" t="str">
        <f aca="false">IF(C41=2019,"Baseline",IF(C41&lt;=2021,"COVID shock",IF(C41=2022,"Reopening","Recovery")))</f>
        <v>Reopening</v>
      </c>
      <c r="Y41" s="9" t="n">
        <f aca="false">IFERROR(ABS(S41/G41),"")</f>
        <v>1.72825203009828</v>
      </c>
    </row>
    <row r="42" customFormat="false" ht="15" hidden="false" customHeight="false" outlineLevel="0" collapsed="false">
      <c r="A42" s="6" t="n">
        <v>41</v>
      </c>
      <c r="B42" s="7" t="n">
        <v>44682</v>
      </c>
      <c r="C42" s="6" t="n">
        <f aca="false">YEAR(B42)</f>
        <v>2022</v>
      </c>
      <c r="D42" s="6" t="n">
        <f aca="false">MONTH(B42)</f>
        <v>5</v>
      </c>
      <c r="E42" s="6" t="str">
        <f aca="false">TEXT(B42,"mmm")</f>
        <v>May</v>
      </c>
      <c r="F42" s="6" t="s">
        <v>8</v>
      </c>
      <c r="G42" s="8" t="n">
        <v>5.76</v>
      </c>
      <c r="H42" s="8" t="n">
        <f aca="false">IFERROR(LN(G42),"")</f>
        <v>1.7509374747078</v>
      </c>
      <c r="I42" s="8" t="n">
        <f aca="false">IF(A42=1,"",G42-G41)</f>
        <v>1.493</v>
      </c>
      <c r="J42" s="9" t="n">
        <f aca="false">IFERROR(G42/INDEX($G:$G,MATCH(DATE(C42-1,D42,1),$B:$B,0))-1,"")</f>
        <v>1.85007422068283</v>
      </c>
      <c r="K42" s="8" t="n">
        <f aca="false">AVERAGE(G40:G42)</f>
        <v>4.338</v>
      </c>
      <c r="L42" s="8" t="n">
        <f aca="false">AVERAGE(G37:G42)</f>
        <v>3.6445</v>
      </c>
      <c r="M42" s="8" t="n">
        <f aca="false">AVERAGE(G31:G42)</f>
        <v>2.97583333333333</v>
      </c>
      <c r="N42" s="8" t="n">
        <f aca="false">AVERAGE(G37:G48)</f>
        <v>6.7645</v>
      </c>
      <c r="O42" s="9" t="n">
        <f aca="false">IFERROR(G42/G6,"")</f>
        <v>0.196225386659399</v>
      </c>
      <c r="P42" s="8" t="n">
        <f aca="false">AVERAGEIFS($G:$G,$D:$D,D42,$C:$C,"&lt;="&amp;Source!$B$8)-AVERAGEIFS($G:$G,$C:$C,"&lt;="&amp;Source!$B$8)</f>
        <v>-1.74611666666667</v>
      </c>
      <c r="Q42" s="8" t="n">
        <f aca="false">G42-P42</f>
        <v>7.50611666666667</v>
      </c>
      <c r="R42" s="8" t="n">
        <f aca="false">INTERCEPT($G$2:$G$61,$A$2:$A$61)+SLOPE($G$2:$G$61,$A$2:$A$61)*A42</f>
        <v>11.5004971751412</v>
      </c>
      <c r="S42" s="8" t="n">
        <f aca="false">G42-R42</f>
        <v>-5.74049717514124</v>
      </c>
      <c r="T42" s="8" t="n">
        <f aca="false">ABS(S42)</f>
        <v>5.74049717514124</v>
      </c>
      <c r="U42" s="10" t="n">
        <f aca="false">IFERROR((S42-AVERAGE($S$2:$S$61))/stdev.s($S$2:$S$61),"")</f>
        <v>-0.512101678312419</v>
      </c>
      <c r="V42" s="6" t="str">
        <f aca="false">IF(ABS(U42)&gt;=Source!$B$10,"Anomaly","")</f>
        <v/>
      </c>
      <c r="W42" s="8" t="n">
        <f aca="false">IF(A42&lt;=12,"",G42-INDEX($G:$G,ROW()-12))</f>
        <v>3.739</v>
      </c>
      <c r="X42" s="6" t="str">
        <f aca="false">IF(C42=2019,"Baseline",IF(C42&lt;=2021,"COVID shock",IF(C42=2022,"Reopening","Recovery")))</f>
        <v>Reopening</v>
      </c>
      <c r="Y42" s="9" t="n">
        <f aca="false">IFERROR(ABS(S42/G42),"")</f>
        <v>0.996614092906465</v>
      </c>
    </row>
    <row r="43" customFormat="false" ht="15" hidden="false" customHeight="false" outlineLevel="0" collapsed="false">
      <c r="A43" s="6" t="n">
        <v>42</v>
      </c>
      <c r="B43" s="7" t="n">
        <v>44713</v>
      </c>
      <c r="C43" s="6" t="n">
        <f aca="false">YEAR(B43)</f>
        <v>2022</v>
      </c>
      <c r="D43" s="6" t="n">
        <f aca="false">MONTH(B43)</f>
        <v>6</v>
      </c>
      <c r="E43" s="6" t="str">
        <f aca="false">TEXT(B43,"mmm")</f>
        <v>Jun</v>
      </c>
      <c r="F43" s="6" t="s">
        <v>8</v>
      </c>
      <c r="G43" s="8" t="n">
        <v>7.253</v>
      </c>
      <c r="H43" s="8" t="n">
        <f aca="false">IFERROR(LN(G43),"")</f>
        <v>1.98141517638128</v>
      </c>
      <c r="I43" s="8" t="n">
        <f aca="false">IF(A43=1,"",G43-G42)</f>
        <v>1.493</v>
      </c>
      <c r="J43" s="9" t="n">
        <f aca="false">IFERROR(G43/INDEX($G:$G,MATCH(DATE(C43-1,D43,1),$B:$B,0))-1,"")</f>
        <v>2.58881741712024</v>
      </c>
      <c r="K43" s="8" t="n">
        <f aca="false">AVERAGE(G41:G43)</f>
        <v>5.76</v>
      </c>
      <c r="L43" s="8" t="n">
        <f aca="false">AVERAGE(G38:G43)</f>
        <v>4.21333333333333</v>
      </c>
      <c r="M43" s="8" t="n">
        <f aca="false">AVERAGE(G32:G43)</f>
        <v>3.41183333333333</v>
      </c>
      <c r="N43" s="8" t="n">
        <f aca="false">AVERAGE(G38:G49)</f>
        <v>7.77783333333333</v>
      </c>
      <c r="O43" s="9" t="n">
        <f aca="false">IFERROR(G43/G7,"")</f>
        <v>0.245398565435106</v>
      </c>
      <c r="P43" s="8" t="n">
        <f aca="false">AVERAGEIFS($G:$G,$D:$D,D43,$C:$C,"&lt;="&amp;Source!$B$8)-AVERAGEIFS($G:$G,$C:$C,"&lt;="&amp;Source!$B$8)</f>
        <v>-1.10571666666667</v>
      </c>
      <c r="Q43" s="8" t="n">
        <f aca="false">G43-P43</f>
        <v>8.35871666666667</v>
      </c>
      <c r="R43" s="8" t="n">
        <f aca="false">INTERCEPT($G$2:$G$61,$A$2:$A$61)+SLOPE($G$2:$G$61,$A$2:$A$61)*A43</f>
        <v>11.3595429378531</v>
      </c>
      <c r="S43" s="8" t="n">
        <f aca="false">G43-R43</f>
        <v>-4.1065429378531</v>
      </c>
      <c r="T43" s="8" t="n">
        <f aca="false">ABS(S43)</f>
        <v>4.1065429378531</v>
      </c>
      <c r="U43" s="10" t="n">
        <f aca="false">IFERROR((S43-AVERAGE($S$2:$S$61))/stdev.s($S$2:$S$61),"")</f>
        <v>-0.366338919152041</v>
      </c>
      <c r="V43" s="6" t="str">
        <f aca="false">IF(ABS(U43)&gt;=Source!$B$10,"Anomaly","")</f>
        <v/>
      </c>
      <c r="W43" s="8" t="n">
        <f aca="false">IF(A43&lt;=12,"",G43-INDEX($G:$G,ROW()-12))</f>
        <v>5.232</v>
      </c>
      <c r="X43" s="6" t="str">
        <f aca="false">IF(C43=2019,"Baseline",IF(C43&lt;=2021,"COVID shock",IF(C43=2022,"Reopening","Recovery")))</f>
        <v>Reopening</v>
      </c>
      <c r="Y43" s="9" t="n">
        <f aca="false">IFERROR(ABS(S43/G43),"")</f>
        <v>0.566185431938936</v>
      </c>
    </row>
    <row r="44" customFormat="false" ht="15" hidden="false" customHeight="false" outlineLevel="0" collapsed="false">
      <c r="A44" s="6" t="n">
        <v>43</v>
      </c>
      <c r="B44" s="7" t="n">
        <v>44743</v>
      </c>
      <c r="C44" s="6" t="n">
        <f aca="false">YEAR(B44)</f>
        <v>2022</v>
      </c>
      <c r="D44" s="6" t="n">
        <f aca="false">MONTH(B44)</f>
        <v>7</v>
      </c>
      <c r="E44" s="6" t="str">
        <f aca="false">TEXT(B44,"mmm")</f>
        <v>Jul</v>
      </c>
      <c r="F44" s="6" t="s">
        <v>8</v>
      </c>
      <c r="G44" s="8" t="n">
        <v>9.28</v>
      </c>
      <c r="H44" s="8" t="n">
        <f aca="false">IFERROR(LN(G44),"")</f>
        <v>2.22786154679811</v>
      </c>
      <c r="I44" s="8" t="n">
        <f aca="false">IF(A44=1,"",G44-G43)</f>
        <v>2.027</v>
      </c>
      <c r="J44" s="9" t="n">
        <f aca="false">IFERROR(G44/INDEX($G:$G,MATCH(DATE(C44-1,D44,1),$B:$B,0))-1,"")</f>
        <v>2.99311531841652</v>
      </c>
      <c r="K44" s="8" t="n">
        <f aca="false">AVERAGE(G42:G44)</f>
        <v>7.431</v>
      </c>
      <c r="L44" s="8" t="n">
        <f aca="false">AVERAGE(G39:G44)</f>
        <v>5.35116666666667</v>
      </c>
      <c r="M44" s="8" t="n">
        <f aca="false">AVERAGE(G33:G44)</f>
        <v>3.9915</v>
      </c>
      <c r="N44" s="8" t="n">
        <f aca="false">AVERAGE(G39:G50)</f>
        <v>8.78758333333333</v>
      </c>
      <c r="O44" s="9" t="n">
        <f aca="false">IFERROR(G44/G8,"")</f>
        <v>0.300596009328842</v>
      </c>
      <c r="P44" s="8" t="n">
        <f aca="false">AVERAGEIFS($G:$G,$D:$D,D44,$C:$C,"&lt;="&amp;Source!$B$8)-AVERAGEIFS($G:$G,$C:$C,"&lt;="&amp;Source!$B$8)</f>
        <v>0.120483333333333</v>
      </c>
      <c r="Q44" s="8" t="n">
        <f aca="false">G44-P44</f>
        <v>9.15951666666667</v>
      </c>
      <c r="R44" s="8" t="n">
        <f aca="false">INTERCEPT($G$2:$G$61,$A$2:$A$61)+SLOPE($G$2:$G$61,$A$2:$A$61)*A44</f>
        <v>11.218588700565</v>
      </c>
      <c r="S44" s="8" t="n">
        <f aca="false">G44-R44</f>
        <v>-1.93858870056497</v>
      </c>
      <c r="T44" s="8" t="n">
        <f aca="false">ABS(S44)</f>
        <v>1.93858870056497</v>
      </c>
      <c r="U44" s="10" t="n">
        <f aca="false">IFERROR((S44-AVERAGE($S$2:$S$61))/stdev.s($S$2:$S$61),"")</f>
        <v>-0.172938771125236</v>
      </c>
      <c r="V44" s="6" t="str">
        <f aca="false">IF(ABS(U44)&gt;=Source!$B$10,"Anomaly","")</f>
        <v/>
      </c>
      <c r="W44" s="8" t="n">
        <f aca="false">IF(A44&lt;=12,"",G44-INDEX($G:$G,ROW()-12))</f>
        <v>6.956</v>
      </c>
      <c r="X44" s="6" t="str">
        <f aca="false">IF(C44=2019,"Baseline",IF(C44&lt;=2021,"COVID shock",IF(C44=2022,"Reopening","Recovery")))</f>
        <v>Reopening</v>
      </c>
      <c r="Y44" s="9" t="n">
        <f aca="false">IFERROR(ABS(S44/G44),"")</f>
        <v>0.208899644457432</v>
      </c>
    </row>
    <row r="45" customFormat="false" ht="15" hidden="false" customHeight="false" outlineLevel="0" collapsed="false">
      <c r="A45" s="6" t="n">
        <v>44</v>
      </c>
      <c r="B45" s="7" t="n">
        <v>44774</v>
      </c>
      <c r="C45" s="6" t="n">
        <f aca="false">YEAR(B45)</f>
        <v>2022</v>
      </c>
      <c r="D45" s="6" t="n">
        <f aca="false">MONTH(B45)</f>
        <v>8</v>
      </c>
      <c r="E45" s="6" t="str">
        <f aca="false">TEXT(B45,"mmm")</f>
        <v>Aug</v>
      </c>
      <c r="F45" s="6" t="s">
        <v>8</v>
      </c>
      <c r="G45" s="8" t="n">
        <v>9.28</v>
      </c>
      <c r="H45" s="8" t="n">
        <f aca="false">IFERROR(LN(G45),"")</f>
        <v>2.22786154679811</v>
      </c>
      <c r="I45" s="8" t="n">
        <f aca="false">IF(A45=1,"",G45-G44)</f>
        <v>0</v>
      </c>
      <c r="J45" s="9" t="n">
        <f aca="false">IFERROR(G45/INDEX($G:$G,MATCH(DATE(C45-1,D45,1),$B:$B,0))-1,"")</f>
        <v>3.37323279924599</v>
      </c>
      <c r="K45" s="8" t="n">
        <f aca="false">AVERAGE(G43:G45)</f>
        <v>8.60433333333334</v>
      </c>
      <c r="L45" s="8" t="n">
        <f aca="false">AVERAGE(G40:G45)</f>
        <v>6.47116666666667</v>
      </c>
      <c r="M45" s="8" t="n">
        <f aca="false">AVERAGE(G34:G45)</f>
        <v>4.588</v>
      </c>
      <c r="N45" s="8" t="n">
        <f aca="false">AVERAGE(G40:G51)</f>
        <v>9.87216666666667</v>
      </c>
      <c r="O45" s="9" t="n">
        <f aca="false">IFERROR(G45/G9,"")</f>
        <v>0.305604952907857</v>
      </c>
      <c r="P45" s="8" t="n">
        <f aca="false">AVERAGEIFS($G:$G,$D:$D,D45,$C:$C,"&lt;="&amp;Source!$B$8)-AVERAGEIFS($G:$G,$C:$C,"&lt;="&amp;Source!$B$8)</f>
        <v>0.269483333333334</v>
      </c>
      <c r="Q45" s="8" t="n">
        <f aca="false">G45-P45</f>
        <v>9.01051666666667</v>
      </c>
      <c r="R45" s="8" t="n">
        <f aca="false">INTERCEPT($G$2:$G$61,$A$2:$A$61)+SLOPE($G$2:$G$61,$A$2:$A$61)*A45</f>
        <v>11.0776344632768</v>
      </c>
      <c r="S45" s="8" t="n">
        <f aca="false">G45-R45</f>
        <v>-1.79763446327683</v>
      </c>
      <c r="T45" s="8" t="n">
        <f aca="false">ABS(S45)</f>
        <v>1.79763446327683</v>
      </c>
      <c r="U45" s="10" t="n">
        <f aca="false">IFERROR((S45-AVERAGE($S$2:$S$61))/stdev.s($S$2:$S$61),"")</f>
        <v>-0.160364441885412</v>
      </c>
      <c r="V45" s="6" t="str">
        <f aca="false">IF(ABS(U45)&gt;=Source!$B$10,"Anomaly","")</f>
        <v/>
      </c>
      <c r="W45" s="8" t="n">
        <f aca="false">IF(A45&lt;=12,"",G45-INDEX($G:$G,ROW()-12))</f>
        <v>7.158</v>
      </c>
      <c r="X45" s="6" t="str">
        <f aca="false">IF(C45=2019,"Baseline",IF(C45&lt;=2021,"COVID shock",IF(C45=2022,"Reopening","Recovery")))</f>
        <v>Reopening</v>
      </c>
      <c r="Y45" s="9" t="n">
        <f aca="false">IFERROR(ABS(S45/G45),"")</f>
        <v>0.1937106102669</v>
      </c>
    </row>
    <row r="46" customFormat="false" ht="15" hidden="false" customHeight="false" outlineLevel="0" collapsed="false">
      <c r="A46" s="6" t="n">
        <v>45</v>
      </c>
      <c r="B46" s="7" t="n">
        <v>44805</v>
      </c>
      <c r="C46" s="6" t="n">
        <f aca="false">YEAR(B46)</f>
        <v>2022</v>
      </c>
      <c r="D46" s="6" t="n">
        <f aca="false">MONTH(B46)</f>
        <v>9</v>
      </c>
      <c r="E46" s="6" t="str">
        <f aca="false">TEXT(B46,"mmm")</f>
        <v>Sep</v>
      </c>
      <c r="F46" s="6" t="s">
        <v>8</v>
      </c>
      <c r="G46" s="8" t="n">
        <v>9.494</v>
      </c>
      <c r="H46" s="8" t="n">
        <f aca="false">IFERROR(LN(G46),"")</f>
        <v>2.25066002012913</v>
      </c>
      <c r="I46" s="8" t="n">
        <f aca="false">IF(A46=1,"",G46-G45)</f>
        <v>0.214</v>
      </c>
      <c r="J46" s="9" t="n">
        <f aca="false">IFERROR(G46/INDEX($G:$G,MATCH(DATE(C46-1,D46,1),$B:$B,0))-1,"")</f>
        <v>3.69767441860465</v>
      </c>
      <c r="K46" s="8" t="n">
        <f aca="false">AVERAGE(G44:G46)</f>
        <v>9.35133333333333</v>
      </c>
      <c r="L46" s="8" t="n">
        <f aca="false">AVERAGE(G41:G46)</f>
        <v>7.55566666666667</v>
      </c>
      <c r="M46" s="8" t="n">
        <f aca="false">AVERAGE(G35:G46)</f>
        <v>5.21075</v>
      </c>
      <c r="N46" s="8" t="n">
        <f aca="false">AVERAGE(G41:G52)</f>
        <v>11.0885833333333</v>
      </c>
      <c r="O46" s="9" t="n">
        <f aca="false">IFERROR(G46/G10,"")</f>
        <v>0.349983411361374</v>
      </c>
      <c r="P46" s="8" t="n">
        <f aca="false">AVERAGEIFS($G:$G,$D:$D,D46,$C:$C,"&lt;="&amp;Source!$B$8)-AVERAGEIFS($G:$G,$C:$C,"&lt;="&amp;Source!$B$8)</f>
        <v>-0.812516666666667</v>
      </c>
      <c r="Q46" s="8" t="n">
        <f aca="false">G46-P46</f>
        <v>10.3065166666667</v>
      </c>
      <c r="R46" s="8" t="n">
        <f aca="false">INTERCEPT($G$2:$G$61,$A$2:$A$61)+SLOPE($G$2:$G$61,$A$2:$A$61)*A46</f>
        <v>10.9366802259887</v>
      </c>
      <c r="S46" s="8" t="n">
        <f aca="false">G46-R46</f>
        <v>-1.4426802259887</v>
      </c>
      <c r="T46" s="8" t="n">
        <f aca="false">ABS(S46)</f>
        <v>1.4426802259887</v>
      </c>
      <c r="U46" s="10" t="n">
        <f aca="false">IFERROR((S46-AVERAGE($S$2:$S$61))/stdev.s($S$2:$S$61),"")</f>
        <v>-0.128699473661665</v>
      </c>
      <c r="V46" s="6" t="str">
        <f aca="false">IF(ABS(U46)&gt;=Source!$B$10,"Anomaly","")</f>
        <v/>
      </c>
      <c r="W46" s="8" t="n">
        <f aca="false">IF(A46&lt;=12,"",G46-INDEX($G:$G,ROW()-12))</f>
        <v>7.473</v>
      </c>
      <c r="X46" s="6" t="str">
        <f aca="false">IF(C46=2019,"Baseline",IF(C46&lt;=2021,"COVID shock",IF(C46=2022,"Reopening","Recovery")))</f>
        <v>Reopening</v>
      </c>
      <c r="Y46" s="9" t="n">
        <f aca="false">IFERROR(ABS(S46/G46),"")</f>
        <v>0.151957049293101</v>
      </c>
    </row>
    <row r="47" customFormat="false" ht="15" hidden="false" customHeight="false" outlineLevel="0" collapsed="false">
      <c r="A47" s="6" t="n">
        <v>46</v>
      </c>
      <c r="B47" s="7" t="n">
        <v>44835</v>
      </c>
      <c r="C47" s="6" t="n">
        <f aca="false">YEAR(B47)</f>
        <v>2022</v>
      </c>
      <c r="D47" s="6" t="n">
        <f aca="false">MONTH(B47)</f>
        <v>10</v>
      </c>
      <c r="E47" s="6" t="str">
        <f aca="false">TEXT(B47,"mmm")</f>
        <v>Oct</v>
      </c>
      <c r="F47" s="6" t="s">
        <v>8</v>
      </c>
      <c r="G47" s="8" t="n">
        <v>11.2</v>
      </c>
      <c r="H47" s="8" t="n">
        <f aca="false">IFERROR(LN(G47),"")</f>
        <v>2.41591377830105</v>
      </c>
      <c r="I47" s="8" t="n">
        <f aca="false">IF(A47=1,"",G47-G46)</f>
        <v>1.706</v>
      </c>
      <c r="J47" s="9" t="n">
        <f aca="false">IFERROR(G47/INDEX($G:$G,MATCH(DATE(C47-1,D47,1),$B:$B,0))-1,"")</f>
        <v>3.81927710843374</v>
      </c>
      <c r="K47" s="8" t="n">
        <f aca="false">AVERAGE(G45:G47)</f>
        <v>9.99133333333333</v>
      </c>
      <c r="L47" s="8" t="n">
        <f aca="false">AVERAGE(G42:G47)</f>
        <v>8.71116666666667</v>
      </c>
      <c r="M47" s="8" t="n">
        <f aca="false">AVERAGE(G36:G47)</f>
        <v>5.95041666666667</v>
      </c>
      <c r="N47" s="8" t="n">
        <f aca="false">AVERAGE(G42:G53)</f>
        <v>12.24025</v>
      </c>
      <c r="O47" s="9" t="n">
        <f aca="false">IFERROR(G47/G11,"")</f>
        <v>0.381549362948831</v>
      </c>
      <c r="P47" s="8" t="n">
        <f aca="false">AVERAGEIFS($G:$G,$D:$D,D47,$C:$C,"&lt;="&amp;Source!$B$8)-AVERAGEIFS($G:$G,$C:$C,"&lt;="&amp;Source!$B$8)</f>
        <v>0.087883333333334</v>
      </c>
      <c r="Q47" s="8" t="n">
        <f aca="false">G47-P47</f>
        <v>11.1121166666667</v>
      </c>
      <c r="R47" s="8" t="n">
        <f aca="false">INTERCEPT($G$2:$G$61,$A$2:$A$61)+SLOPE($G$2:$G$61,$A$2:$A$61)*A47</f>
        <v>10.7957259887006</v>
      </c>
      <c r="S47" s="8" t="n">
        <f aca="false">G47-R47</f>
        <v>0.404274011299437</v>
      </c>
      <c r="T47" s="8" t="n">
        <f aca="false">ABS(S47)</f>
        <v>0.404274011299437</v>
      </c>
      <c r="U47" s="10" t="n">
        <f aca="false">IFERROR((S47-AVERAGE($S$2:$S$61))/stdev.s($S$2:$S$61),"")</f>
        <v>0.0360647158892541</v>
      </c>
      <c r="V47" s="6" t="str">
        <f aca="false">IF(ABS(U47)&gt;=Source!$B$10,"Anomaly","")</f>
        <v/>
      </c>
      <c r="W47" s="8" t="n">
        <f aca="false">IF(A47&lt;=12,"",G47-INDEX($G:$G,ROW()-12))</f>
        <v>8.876</v>
      </c>
      <c r="X47" s="6" t="str">
        <f aca="false">IF(C47=2019,"Baseline",IF(C47&lt;=2021,"COVID shock",IF(C47=2022,"Reopening","Recovery")))</f>
        <v>Reopening</v>
      </c>
      <c r="Y47" s="9" t="n">
        <f aca="false">IFERROR(ABS(S47/G47),"")</f>
        <v>0.0360958938660212</v>
      </c>
    </row>
    <row r="48" customFormat="false" ht="15" hidden="false" customHeight="false" outlineLevel="0" collapsed="false">
      <c r="A48" s="6" t="n">
        <v>47</v>
      </c>
      <c r="B48" s="7" t="n">
        <v>44866</v>
      </c>
      <c r="C48" s="6" t="n">
        <f aca="false">YEAR(B48)</f>
        <v>2022</v>
      </c>
      <c r="D48" s="6" t="n">
        <f aca="false">MONTH(B48)</f>
        <v>11</v>
      </c>
      <c r="E48" s="6" t="str">
        <f aca="false">TEXT(B48,"mmm")</f>
        <v>Nov</v>
      </c>
      <c r="F48" s="6" t="s">
        <v>8</v>
      </c>
      <c r="G48" s="8" t="n">
        <v>12.8</v>
      </c>
      <c r="H48" s="8" t="n">
        <f aca="false">IFERROR(LN(G48),"")</f>
        <v>2.54944517092557</v>
      </c>
      <c r="I48" s="8" t="n">
        <f aca="false">IF(A48=1,"",G48-G47)</f>
        <v>1.6</v>
      </c>
      <c r="J48" s="9" t="n">
        <f aca="false">IFERROR(G48/INDEX($G:$G,MATCH(DATE(C48-1,D48,1),$B:$B,0))-1,"")</f>
        <v>3.22302870339822</v>
      </c>
      <c r="K48" s="8" t="n">
        <f aca="false">AVERAGE(G46:G48)</f>
        <v>11.1646666666667</v>
      </c>
      <c r="L48" s="8" t="n">
        <f aca="false">AVERAGE(G43:G48)</f>
        <v>9.8845</v>
      </c>
      <c r="M48" s="8" t="n">
        <f aca="false">AVERAGE(G37:G48)</f>
        <v>6.7645</v>
      </c>
      <c r="N48" s="8" t="n">
        <f aca="false">AVERAGE(G43:G54)</f>
        <v>13.2675</v>
      </c>
      <c r="O48" s="9" t="n">
        <f aca="false">IFERROR(G48/G12,"")</f>
        <v>0.433076194342942</v>
      </c>
      <c r="P48" s="8" t="n">
        <f aca="false">AVERAGEIFS($G:$G,$D:$D,D48,$C:$C,"&lt;="&amp;Source!$B$8)-AVERAGEIFS($G:$G,$C:$C,"&lt;="&amp;Source!$B$8)</f>
        <v>0.672283333333333</v>
      </c>
      <c r="Q48" s="8" t="n">
        <f aca="false">G48-P48</f>
        <v>12.1277166666667</v>
      </c>
      <c r="R48" s="8" t="n">
        <f aca="false">INTERCEPT($G$2:$G$61,$A$2:$A$61)+SLOPE($G$2:$G$61,$A$2:$A$61)*A48</f>
        <v>10.6547717514124</v>
      </c>
      <c r="S48" s="8" t="n">
        <f aca="false">G48-R48</f>
        <v>2.14522824858757</v>
      </c>
      <c r="T48" s="8" t="n">
        <f aca="false">ABS(S48)</f>
        <v>2.14522824858757</v>
      </c>
      <c r="U48" s="10" t="n">
        <f aca="false">IFERROR((S48-AVERAGE($S$2:$S$61))/stdev.s($S$2:$S$61),"")</f>
        <v>0.191372794541594</v>
      </c>
      <c r="V48" s="6" t="str">
        <f aca="false">IF(ABS(U48)&gt;=Source!$B$10,"Anomaly","")</f>
        <v/>
      </c>
      <c r="W48" s="8" t="n">
        <f aca="false">IF(A48&lt;=12,"",G48-INDEX($G:$G,ROW()-12))</f>
        <v>9.769</v>
      </c>
      <c r="X48" s="6" t="str">
        <f aca="false">IF(C48=2019,"Baseline",IF(C48&lt;=2021,"COVID shock",IF(C48=2022,"Reopening","Recovery")))</f>
        <v>Reopening</v>
      </c>
      <c r="Y48" s="9" t="n">
        <f aca="false">IFERROR(ABS(S48/G48),"")</f>
        <v>0.167595956920904</v>
      </c>
    </row>
    <row r="49" customFormat="false" ht="15" hidden="false" customHeight="false" outlineLevel="0" collapsed="false">
      <c r="A49" s="6" t="n">
        <v>48</v>
      </c>
      <c r="B49" s="7" t="n">
        <v>44896</v>
      </c>
      <c r="C49" s="6" t="n">
        <f aca="false">YEAR(B49)</f>
        <v>2022</v>
      </c>
      <c r="D49" s="6" t="n">
        <f aca="false">MONTH(B49)</f>
        <v>12</v>
      </c>
      <c r="E49" s="6" t="str">
        <f aca="false">TEXT(B49,"mmm")</f>
        <v>Dec</v>
      </c>
      <c r="F49" s="6" t="s">
        <v>8</v>
      </c>
      <c r="G49" s="8" t="n">
        <v>16</v>
      </c>
      <c r="H49" s="8" t="n">
        <f aca="false">IFERROR(LN(G49),"")</f>
        <v>2.77258872223978</v>
      </c>
      <c r="I49" s="8" t="n">
        <f aca="false">IF(A49=1,"",G49-G48)</f>
        <v>3.2</v>
      </c>
      <c r="J49" s="9" t="n">
        <f aca="false">IFERROR(G49/INDEX($G:$G,MATCH(DATE(C49-1,D49,1),$B:$B,0))-1,"")</f>
        <v>3.16666666666667</v>
      </c>
      <c r="K49" s="8" t="n">
        <f aca="false">AVERAGE(G47:G49)</f>
        <v>13.3333333333333</v>
      </c>
      <c r="L49" s="8" t="n">
        <f aca="false">AVERAGE(G44:G49)</f>
        <v>11.3423333333333</v>
      </c>
      <c r="M49" s="8" t="n">
        <f aca="false">AVERAGE(G38:G49)</f>
        <v>7.77783333333333</v>
      </c>
      <c r="N49" s="8" t="n">
        <f aca="false">AVERAGE(G44:G55)</f>
        <v>14.2959166666667</v>
      </c>
      <c r="O49" s="9" t="n">
        <f aca="false">IFERROR(G49/G13,"")</f>
        <v>0.505018622561707</v>
      </c>
      <c r="P49" s="8" t="n">
        <f aca="false">AVERAGEIFS($G:$G,$D:$D,D49,$C:$C,"&lt;="&amp;Source!$B$8)-AVERAGEIFS($G:$G,$C:$C,"&lt;="&amp;Source!$B$8)</f>
        <v>2.62048333333333</v>
      </c>
      <c r="Q49" s="8" t="n">
        <f aca="false">G49-P49</f>
        <v>13.3795166666667</v>
      </c>
      <c r="R49" s="8" t="n">
        <f aca="false">INTERCEPT($G$2:$G$61,$A$2:$A$61)+SLOPE($G$2:$G$61,$A$2:$A$61)*A49</f>
        <v>10.5138175141243</v>
      </c>
      <c r="S49" s="8" t="n">
        <f aca="false">G49-R49</f>
        <v>5.48618248587571</v>
      </c>
      <c r="T49" s="8" t="n">
        <f aca="false">ABS(S49)</f>
        <v>5.48618248587571</v>
      </c>
      <c r="U49" s="10" t="n">
        <f aca="false">IFERROR((S49-AVERAGE($S$2:$S$61))/stdev.s($S$2:$S$61),"")</f>
        <v>0.489414622606451</v>
      </c>
      <c r="V49" s="6" t="str">
        <f aca="false">IF(ABS(U49)&gt;=Source!$B$10,"Anomaly","")</f>
        <v/>
      </c>
      <c r="W49" s="8" t="n">
        <f aca="false">IF(A49&lt;=12,"",G49-INDEX($G:$G,ROW()-12))</f>
        <v>12.16</v>
      </c>
      <c r="X49" s="6" t="str">
        <f aca="false">IF(C49=2019,"Baseline",IF(C49&lt;=2021,"COVID shock",IF(C49=2022,"Reopening","Recovery")))</f>
        <v>Reopening</v>
      </c>
      <c r="Y49" s="9" t="n">
        <f aca="false">IFERROR(ABS(S49/G49),"")</f>
        <v>0.342886405367232</v>
      </c>
    </row>
    <row r="50" customFormat="false" ht="15" hidden="false" customHeight="false" outlineLevel="0" collapsed="false">
      <c r="A50" s="6" t="n">
        <v>49</v>
      </c>
      <c r="B50" s="7" t="n">
        <v>44927</v>
      </c>
      <c r="C50" s="6" t="n">
        <f aca="false">YEAR(B50)</f>
        <v>2023</v>
      </c>
      <c r="D50" s="6" t="n">
        <f aca="false">MONTH(B50)</f>
        <v>1</v>
      </c>
      <c r="E50" s="6" t="str">
        <f aca="false">TEXT(B50,"mmm")</f>
        <v>Jan</v>
      </c>
      <c r="F50" s="6" t="s">
        <v>8</v>
      </c>
      <c r="G50" s="8" t="n">
        <v>14.57</v>
      </c>
      <c r="H50" s="8" t="n">
        <f aca="false">IFERROR(LN(G50),"")</f>
        <v>2.67896462020711</v>
      </c>
      <c r="I50" s="8" t="n">
        <f aca="false">IF(A50=1,"",G50-G49)</f>
        <v>-1.43</v>
      </c>
      <c r="J50" s="9" t="n">
        <f aca="false">IFERROR(G50/INDEX($G:$G,MATCH(DATE(C50-1,D50,1),$B:$B,0))-1,"")</f>
        <v>4.93966571545047</v>
      </c>
      <c r="K50" s="8" t="n">
        <f aca="false">AVERAGE(G48:G50)</f>
        <v>14.4566666666667</v>
      </c>
      <c r="L50" s="8" t="n">
        <f aca="false">AVERAGE(G45:G50)</f>
        <v>12.224</v>
      </c>
      <c r="M50" s="8" t="n">
        <f aca="false">AVERAGE(G39:G50)</f>
        <v>8.78758333333333</v>
      </c>
      <c r="N50" s="8" t="n">
        <f aca="false">AVERAGE(G45:G56)</f>
        <v>15.3228333333333</v>
      </c>
      <c r="O50" s="9" t="n">
        <f aca="false">IFERROR(G50/G2,"")</f>
        <v>0.471948691370822</v>
      </c>
      <c r="P50" s="8" t="n">
        <f aca="false">AVERAGEIFS($G:$G,$D:$D,D50,$C:$C,"&lt;="&amp;Source!$B$8)-AVERAGEIFS($G:$G,$C:$C,"&lt;="&amp;Source!$B$8)</f>
        <v>2.60408333333333</v>
      </c>
      <c r="Q50" s="8" t="n">
        <f aca="false">G50-P50</f>
        <v>11.9659166666667</v>
      </c>
      <c r="R50" s="8" t="n">
        <f aca="false">INTERCEPT($G$2:$G$61,$A$2:$A$61)+SLOPE($G$2:$G$61,$A$2:$A$61)*A50</f>
        <v>10.3728632768362</v>
      </c>
      <c r="S50" s="8" t="n">
        <f aca="false">G50-R50</f>
        <v>4.19713672316384</v>
      </c>
      <c r="T50" s="8" t="n">
        <f aca="false">ABS(S50)</f>
        <v>4.19713672316384</v>
      </c>
      <c r="U50" s="10" t="n">
        <f aca="false">IFERROR((S50-AVERAGE($S$2:$S$61))/stdev.s($S$2:$S$61),"")</f>
        <v>0.374420663308837</v>
      </c>
      <c r="V50" s="6" t="str">
        <f aca="false">IF(ABS(U50)&gt;=Source!$B$10,"Anomaly","")</f>
        <v/>
      </c>
      <c r="W50" s="8" t="n">
        <f aca="false">IF(A50&lt;=12,"",G50-INDEX($G:$G,ROW()-12))</f>
        <v>12.117</v>
      </c>
      <c r="X50" s="6" t="str">
        <f aca="false">IF(C50=2019,"Baseline",IF(C50&lt;=2021,"COVID shock",IF(C50=2022,"Reopening","Recovery")))</f>
        <v>Recovery</v>
      </c>
      <c r="Y50" s="9" t="n">
        <f aca="false">IFERROR(ABS(S50/G50),"")</f>
        <v>0.288067036593263</v>
      </c>
    </row>
    <row r="51" customFormat="false" ht="15" hidden="false" customHeight="false" outlineLevel="0" collapsed="false">
      <c r="A51" s="6" t="n">
        <v>50</v>
      </c>
      <c r="B51" s="7" t="n">
        <v>44958</v>
      </c>
      <c r="C51" s="6" t="n">
        <f aca="false">YEAR(B51)</f>
        <v>2023</v>
      </c>
      <c r="D51" s="6" t="n">
        <f aca="false">MONTH(B51)</f>
        <v>2</v>
      </c>
      <c r="E51" s="6" t="str">
        <f aca="false">TEXT(B51,"mmm")</f>
        <v>Feb</v>
      </c>
      <c r="F51" s="6" t="s">
        <v>8</v>
      </c>
      <c r="G51" s="8" t="n">
        <v>15.575</v>
      </c>
      <c r="H51" s="8" t="n">
        <f aca="false">IFERROR(LN(G51),"")</f>
        <v>2.74566706467352</v>
      </c>
      <c r="I51" s="8" t="n">
        <f aca="false">IF(A51=1,"",G51-G50)</f>
        <v>1.005</v>
      </c>
      <c r="J51" s="9" t="n">
        <f aca="false">IFERROR(G51/INDEX($G:$G,MATCH(DATE(C51-1,D51,1),$B:$B,0))-1,"")</f>
        <v>5.083984375</v>
      </c>
      <c r="K51" s="8" t="n">
        <f aca="false">AVERAGE(G49:G51)</f>
        <v>15.3816666666667</v>
      </c>
      <c r="L51" s="8" t="n">
        <f aca="false">AVERAGE(G46:G51)</f>
        <v>13.2731666666667</v>
      </c>
      <c r="M51" s="8" t="n">
        <f aca="false">AVERAGE(G40:G51)</f>
        <v>9.87216666666667</v>
      </c>
      <c r="N51" s="8" t="n">
        <f aca="false">AVERAGE(G46:G57)</f>
        <v>16.3916666666667</v>
      </c>
      <c r="O51" s="9" t="n">
        <f aca="false">IFERROR(G51/G3,"")</f>
        <v>0.512909174734901</v>
      </c>
      <c r="P51" s="8" t="n">
        <f aca="false">AVERAGEIFS($G:$G,$D:$D,D51,$C:$C,"&lt;="&amp;Source!$B$8)-AVERAGEIFS($G:$G,$C:$C,"&lt;="&amp;Source!$B$8)</f>
        <v>0.254283333333332</v>
      </c>
      <c r="Q51" s="8" t="n">
        <f aca="false">G51-P51</f>
        <v>15.3207166666667</v>
      </c>
      <c r="R51" s="8" t="n">
        <f aca="false">INTERCEPT($G$2:$G$61,$A$2:$A$61)+SLOPE($G$2:$G$61,$A$2:$A$61)*A51</f>
        <v>10.231909039548</v>
      </c>
      <c r="S51" s="8" t="n">
        <f aca="false">G51-R51</f>
        <v>5.34309096045198</v>
      </c>
      <c r="T51" s="8" t="n">
        <f aca="false">ABS(S51)</f>
        <v>5.34309096045198</v>
      </c>
      <c r="U51" s="10" t="n">
        <f aca="false">IFERROR((S51-AVERAGE($S$2:$S$61))/stdev.s($S$2:$S$61),"")</f>
        <v>0.476649628898397</v>
      </c>
      <c r="V51" s="6" t="str">
        <f aca="false">IF(ABS(U51)&gt;=Source!$B$10,"Anomaly","")</f>
        <v/>
      </c>
      <c r="W51" s="8" t="n">
        <f aca="false">IF(A51&lt;=12,"",G51-INDEX($G:$G,ROW()-12))</f>
        <v>13.015</v>
      </c>
      <c r="X51" s="6" t="str">
        <f aca="false">IF(C51=2019,"Baseline",IF(C51&lt;=2021,"COVID shock",IF(C51=2022,"Reopening","Recovery")))</f>
        <v>Recovery</v>
      </c>
      <c r="Y51" s="9" t="n">
        <f aca="false">IFERROR(ABS(S51/G51),"")</f>
        <v>0.343055599386965</v>
      </c>
    </row>
    <row r="52" customFormat="false" ht="15" hidden="false" customHeight="false" outlineLevel="0" collapsed="false">
      <c r="A52" s="6" t="n">
        <v>51</v>
      </c>
      <c r="B52" s="7" t="n">
        <v>44986</v>
      </c>
      <c r="C52" s="6" t="n">
        <f aca="false">YEAR(B52)</f>
        <v>2023</v>
      </c>
      <c r="D52" s="6" t="n">
        <f aca="false">MONTH(B52)</f>
        <v>3</v>
      </c>
      <c r="E52" s="6" t="str">
        <f aca="false">TEXT(B52,"mmm")</f>
        <v>Mar</v>
      </c>
      <c r="F52" s="6" t="s">
        <v>8</v>
      </c>
      <c r="G52" s="8" t="n">
        <v>17.584</v>
      </c>
      <c r="H52" s="8" t="n">
        <f aca="false">IFERROR(LN(G52),"")</f>
        <v>2.86698939766127</v>
      </c>
      <c r="I52" s="8" t="n">
        <f aca="false">IF(A52=1,"",G52-G51)</f>
        <v>2.009</v>
      </c>
      <c r="J52" s="9" t="n">
        <f aca="false">IFERROR(G52/INDEX($G:$G,MATCH(DATE(C52-1,D52,1),$B:$B,0))-1,"")</f>
        <v>4.88684298627385</v>
      </c>
      <c r="K52" s="8" t="n">
        <f aca="false">AVERAGE(G50:G52)</f>
        <v>15.9096666666667</v>
      </c>
      <c r="L52" s="8" t="n">
        <f aca="false">AVERAGE(G47:G52)</f>
        <v>14.6215</v>
      </c>
      <c r="M52" s="8" t="n">
        <f aca="false">AVERAGE(G41:G52)</f>
        <v>11.0885833333333</v>
      </c>
      <c r="N52" s="8" t="n">
        <f aca="false">AVERAGE(G47:G58)</f>
        <v>17.2919166666667</v>
      </c>
      <c r="O52" s="9" t="n">
        <f aca="false">IFERROR(G52/G4,"")</f>
        <v>0.549757698921369</v>
      </c>
      <c r="P52" s="8" t="n">
        <f aca="false">AVERAGEIFS($G:$G,$D:$D,D52,$C:$C,"&lt;="&amp;Source!$B$8)-AVERAGEIFS($G:$G,$C:$C,"&lt;="&amp;Source!$B$8)</f>
        <v>-1.36531666666667</v>
      </c>
      <c r="Q52" s="8" t="n">
        <f aca="false">G52-P52</f>
        <v>18.9493166666667</v>
      </c>
      <c r="R52" s="8" t="n">
        <f aca="false">INTERCEPT($G$2:$G$61,$A$2:$A$61)+SLOPE($G$2:$G$61,$A$2:$A$61)*A52</f>
        <v>10.0909548022599</v>
      </c>
      <c r="S52" s="8" t="n">
        <f aca="false">G52-R52</f>
        <v>7.49304519774012</v>
      </c>
      <c r="T52" s="8" t="n">
        <f aca="false">ABS(S52)</f>
        <v>7.49304519774012</v>
      </c>
      <c r="U52" s="10" t="n">
        <f aca="false">IFERROR((S52-AVERAGE($S$2:$S$61))/stdev.s($S$2:$S$61),"")</f>
        <v>0.668444022244312</v>
      </c>
      <c r="V52" s="6" t="str">
        <f aca="false">IF(ABS(U52)&gt;=Source!$B$10,"Anomaly","")</f>
        <v/>
      </c>
      <c r="W52" s="8" t="n">
        <f aca="false">IF(A52&lt;=12,"",G52-INDEX($G:$G,ROW()-12))</f>
        <v>14.597</v>
      </c>
      <c r="X52" s="6" t="str">
        <f aca="false">IF(C52=2019,"Baseline",IF(C52&lt;=2021,"COVID shock",IF(C52=2022,"Reopening","Recovery")))</f>
        <v>Recovery</v>
      </c>
      <c r="Y52" s="9" t="n">
        <f aca="false">IFERROR(ABS(S52/G52),"")</f>
        <v>0.426128594048005</v>
      </c>
    </row>
    <row r="53" customFormat="false" ht="15" hidden="false" customHeight="false" outlineLevel="0" collapsed="false">
      <c r="A53" s="6" t="n">
        <v>52</v>
      </c>
      <c r="B53" s="7" t="n">
        <v>45017</v>
      </c>
      <c r="C53" s="6" t="n">
        <f aca="false">YEAR(B53)</f>
        <v>2023</v>
      </c>
      <c r="D53" s="6" t="n">
        <f aca="false">MONTH(B53)</f>
        <v>4</v>
      </c>
      <c r="E53" s="6" t="str">
        <f aca="false">TEXT(B53,"mmm")</f>
        <v>Apr</v>
      </c>
      <c r="F53" s="6" t="s">
        <v>8</v>
      </c>
      <c r="G53" s="8" t="n">
        <v>18.087</v>
      </c>
      <c r="H53" s="8" t="n">
        <f aca="false">IFERROR(LN(G53),"")</f>
        <v>2.89519344817538</v>
      </c>
      <c r="I53" s="8" t="n">
        <f aca="false">IF(A53=1,"",G53-G52)</f>
        <v>0.503</v>
      </c>
      <c r="J53" s="9" t="n">
        <f aca="false">IFERROR(G53/INDEX($G:$G,MATCH(DATE(C53-1,D53,1),$B:$B,0))-1,"")</f>
        <v>3.23880946801031</v>
      </c>
      <c r="K53" s="8" t="n">
        <f aca="false">AVERAGE(G51:G53)</f>
        <v>17.082</v>
      </c>
      <c r="L53" s="8" t="n">
        <f aca="false">AVERAGE(G48:G53)</f>
        <v>15.7693333333333</v>
      </c>
      <c r="M53" s="8" t="n">
        <f aca="false">AVERAGE(G42:G53)</f>
        <v>12.24025</v>
      </c>
      <c r="N53" s="8" t="n">
        <f aca="false">AVERAGE(G48:G59)</f>
        <v>18.16725</v>
      </c>
      <c r="O53" s="9" t="n">
        <f aca="false">IFERROR(G53/G5,"")</f>
        <v>0.572717773344733</v>
      </c>
      <c r="P53" s="8" t="n">
        <f aca="false">AVERAGEIFS($G:$G,$D:$D,D53,$C:$C,"&lt;="&amp;Source!$B$8)-AVERAGEIFS($G:$G,$C:$C,"&lt;="&amp;Source!$B$8)</f>
        <v>-1.59931666666667</v>
      </c>
      <c r="Q53" s="8" t="n">
        <f aca="false">G53-P53</f>
        <v>19.6863166666667</v>
      </c>
      <c r="R53" s="8" t="n">
        <f aca="false">INTERCEPT($G$2:$G$61,$A$2:$A$61)+SLOPE($G$2:$G$61,$A$2:$A$61)*A53</f>
        <v>9.95000056497175</v>
      </c>
      <c r="S53" s="8" t="n">
        <f aca="false">G53-R53</f>
        <v>8.13699943502825</v>
      </c>
      <c r="T53" s="8" t="n">
        <f aca="false">ABS(S53)</f>
        <v>8.13699943502825</v>
      </c>
      <c r="U53" s="10" t="n">
        <f aca="false">IFERROR((S53-AVERAGE($S$2:$S$61))/stdev.s($S$2:$S$61),"")</f>
        <v>0.725890273955695</v>
      </c>
      <c r="V53" s="6" t="str">
        <f aca="false">IF(ABS(U53)&gt;=Source!$B$10,"Anomaly","")</f>
        <v/>
      </c>
      <c r="W53" s="8" t="n">
        <f aca="false">IF(A53&lt;=12,"",G53-INDEX($G:$G,ROW()-12))</f>
        <v>13.82</v>
      </c>
      <c r="X53" s="6" t="str">
        <f aca="false">IF(C53=2019,"Baseline",IF(C53&lt;=2021,"COVID shock",IF(C53=2022,"Reopening","Recovery")))</f>
        <v>Recovery</v>
      </c>
      <c r="Y53" s="9" t="n">
        <f aca="false">IFERROR(ABS(S53/G53),"")</f>
        <v>0.449881098857094</v>
      </c>
    </row>
    <row r="54" customFormat="false" ht="15" hidden="false" customHeight="false" outlineLevel="0" collapsed="false">
      <c r="A54" s="6" t="n">
        <v>53</v>
      </c>
      <c r="B54" s="7" t="n">
        <v>45047</v>
      </c>
      <c r="C54" s="6" t="n">
        <f aca="false">YEAR(B54)</f>
        <v>2023</v>
      </c>
      <c r="D54" s="6" t="n">
        <f aca="false">MONTH(B54)</f>
        <v>5</v>
      </c>
      <c r="E54" s="6" t="str">
        <f aca="false">TEXT(B54,"mmm")</f>
        <v>May</v>
      </c>
      <c r="F54" s="6" t="s">
        <v>8</v>
      </c>
      <c r="G54" s="8" t="n">
        <v>18.087</v>
      </c>
      <c r="H54" s="8" t="n">
        <f aca="false">IFERROR(LN(G54),"")</f>
        <v>2.89519344817538</v>
      </c>
      <c r="I54" s="8" t="n">
        <f aca="false">IF(A54=1,"",G54-G53)</f>
        <v>0</v>
      </c>
      <c r="J54" s="9" t="n">
        <f aca="false">IFERROR(G54/INDEX($G:$G,MATCH(DATE(C54-1,D54,1),$B:$B,0))-1,"")</f>
        <v>2.14010416666667</v>
      </c>
      <c r="K54" s="8" t="n">
        <f aca="false">AVERAGE(G52:G54)</f>
        <v>17.9193333333333</v>
      </c>
      <c r="L54" s="8" t="n">
        <f aca="false">AVERAGE(G49:G54)</f>
        <v>16.6505</v>
      </c>
      <c r="M54" s="8" t="n">
        <f aca="false">AVERAGE(G43:G54)</f>
        <v>13.2675</v>
      </c>
      <c r="N54" s="8" t="n">
        <f aca="false">AVERAGE(G49:G60)</f>
        <v>18.9595</v>
      </c>
      <c r="O54" s="9" t="n">
        <f aca="false">IFERROR(G54/G6,"")</f>
        <v>0.616168154254957</v>
      </c>
      <c r="P54" s="8" t="n">
        <f aca="false">AVERAGEIFS($G:$G,$D:$D,D54,$C:$C,"&lt;="&amp;Source!$B$8)-AVERAGEIFS($G:$G,$C:$C,"&lt;="&amp;Source!$B$8)</f>
        <v>-1.74611666666667</v>
      </c>
      <c r="Q54" s="8" t="n">
        <f aca="false">G54-P54</f>
        <v>19.8331166666667</v>
      </c>
      <c r="R54" s="8" t="n">
        <f aca="false">INTERCEPT($G$2:$G$61,$A$2:$A$61)+SLOPE($G$2:$G$61,$A$2:$A$61)*A54</f>
        <v>9.80904632768361</v>
      </c>
      <c r="S54" s="8" t="n">
        <f aca="false">G54-R54</f>
        <v>8.27795367231639</v>
      </c>
      <c r="T54" s="8" t="n">
        <f aca="false">ABS(S54)</f>
        <v>8.27795367231639</v>
      </c>
      <c r="U54" s="10" t="n">
        <f aca="false">IFERROR((S54-AVERAGE($S$2:$S$61))/stdev.s($S$2:$S$61),"")</f>
        <v>0.738464603195518</v>
      </c>
      <c r="V54" s="6" t="str">
        <f aca="false">IF(ABS(U54)&gt;=Source!$B$10,"Anomaly","")</f>
        <v/>
      </c>
      <c r="W54" s="8" t="n">
        <f aca="false">IF(A54&lt;=12,"",G54-INDEX($G:$G,ROW()-12))</f>
        <v>12.327</v>
      </c>
      <c r="X54" s="6" t="str">
        <f aca="false">IF(C54=2019,"Baseline",IF(C54&lt;=2021,"COVID shock",IF(C54=2022,"Reopening","Recovery")))</f>
        <v>Recovery</v>
      </c>
      <c r="Y54" s="9" t="n">
        <f aca="false">IFERROR(ABS(S54/G54),"")</f>
        <v>0.45767422305061</v>
      </c>
    </row>
    <row r="55" customFormat="false" ht="15" hidden="false" customHeight="false" outlineLevel="0" collapsed="false">
      <c r="A55" s="6" t="n">
        <v>54</v>
      </c>
      <c r="B55" s="7" t="n">
        <v>45078</v>
      </c>
      <c r="C55" s="6" t="n">
        <f aca="false">YEAR(B55)</f>
        <v>2023</v>
      </c>
      <c r="D55" s="6" t="n">
        <f aca="false">MONTH(B55)</f>
        <v>6</v>
      </c>
      <c r="E55" s="6" t="str">
        <f aca="false">TEXT(B55,"mmm")</f>
        <v>Jun</v>
      </c>
      <c r="F55" s="6" t="s">
        <v>8</v>
      </c>
      <c r="G55" s="8" t="n">
        <v>19.594</v>
      </c>
      <c r="H55" s="8" t="n">
        <f aca="false">IFERROR(LN(G55),"")</f>
        <v>2.97522339692245</v>
      </c>
      <c r="I55" s="8" t="n">
        <f aca="false">IF(A55=1,"",G55-G54)</f>
        <v>1.507</v>
      </c>
      <c r="J55" s="9" t="n">
        <f aca="false">IFERROR(G55/INDEX($G:$G,MATCH(DATE(C55-1,D55,1),$B:$B,0))-1,"")</f>
        <v>1.70150282641666</v>
      </c>
      <c r="K55" s="8" t="n">
        <f aca="false">AVERAGE(G53:G55)</f>
        <v>18.5893333333333</v>
      </c>
      <c r="L55" s="8" t="n">
        <f aca="false">AVERAGE(G50:G55)</f>
        <v>17.2495</v>
      </c>
      <c r="M55" s="8" t="n">
        <f aca="false">AVERAGE(G44:G55)</f>
        <v>14.2959166666667</v>
      </c>
      <c r="N55" s="8" t="n">
        <f aca="false">AVERAGE(G50:G61)</f>
        <v>19.76975</v>
      </c>
      <c r="O55" s="9" t="n">
        <f aca="false">IFERROR(G55/G7,"")</f>
        <v>0.662944918121532</v>
      </c>
      <c r="P55" s="8" t="n">
        <f aca="false">AVERAGEIFS($G:$G,$D:$D,D55,$C:$C,"&lt;="&amp;Source!$B$8)-AVERAGEIFS($G:$G,$C:$C,"&lt;="&amp;Source!$B$8)</f>
        <v>-1.10571666666667</v>
      </c>
      <c r="Q55" s="8" t="n">
        <f aca="false">G55-P55</f>
        <v>20.6997166666667</v>
      </c>
      <c r="R55" s="8" t="n">
        <f aca="false">INTERCEPT($G$2:$G$61,$A$2:$A$61)+SLOPE($G$2:$G$61,$A$2:$A$61)*A55</f>
        <v>9.66809209039548</v>
      </c>
      <c r="S55" s="8" t="n">
        <f aca="false">G55-R55</f>
        <v>9.92590790960452</v>
      </c>
      <c r="T55" s="8" t="n">
        <f aca="false">ABS(S55)</f>
        <v>9.92590790960452</v>
      </c>
      <c r="U55" s="10" t="n">
        <f aca="false">IFERROR((S55-AVERAGE($S$2:$S$61))/stdev.s($S$2:$S$61),"")</f>
        <v>0.885476282663256</v>
      </c>
      <c r="V55" s="6" t="str">
        <f aca="false">IF(ABS(U55)&gt;=Source!$B$10,"Anomaly","")</f>
        <v/>
      </c>
      <c r="W55" s="8" t="n">
        <f aca="false">IF(A55&lt;=12,"",G55-INDEX($G:$G,ROW()-12))</f>
        <v>12.341</v>
      </c>
      <c r="X55" s="6" t="str">
        <f aca="false">IF(C55=2019,"Baseline",IF(C55&lt;=2021,"COVID shock",IF(C55=2022,"Reopening","Recovery")))</f>
        <v>Recovery</v>
      </c>
      <c r="Y55" s="9" t="n">
        <f aca="false">IFERROR(ABS(S55/G55),"")</f>
        <v>0.506578948127209</v>
      </c>
    </row>
    <row r="56" customFormat="false" ht="15" hidden="false" customHeight="false" outlineLevel="0" collapsed="false">
      <c r="A56" s="6" t="n">
        <v>55</v>
      </c>
      <c r="B56" s="7" t="n">
        <v>45108</v>
      </c>
      <c r="C56" s="6" t="n">
        <f aca="false">YEAR(B56)</f>
        <v>2023</v>
      </c>
      <c r="D56" s="6" t="n">
        <f aca="false">MONTH(B56)</f>
        <v>7</v>
      </c>
      <c r="E56" s="6" t="str">
        <f aca="false">TEXT(B56,"mmm")</f>
        <v>Jul</v>
      </c>
      <c r="F56" s="6" t="s">
        <v>8</v>
      </c>
      <c r="G56" s="8" t="n">
        <v>21.603</v>
      </c>
      <c r="H56" s="8" t="n">
        <f aca="false">IFERROR(LN(G56),"")</f>
        <v>3.07283219393484</v>
      </c>
      <c r="I56" s="8" t="n">
        <f aca="false">IF(A56=1,"",G56-G55)</f>
        <v>2.009</v>
      </c>
      <c r="J56" s="9" t="n">
        <f aca="false">IFERROR(G56/INDEX($G:$G,MATCH(DATE(C56-1,D56,1),$B:$B,0))-1,"")</f>
        <v>1.32790948275862</v>
      </c>
      <c r="K56" s="8" t="n">
        <f aca="false">AVERAGE(G54:G56)</f>
        <v>19.7613333333333</v>
      </c>
      <c r="L56" s="8" t="n">
        <f aca="false">AVERAGE(G51:G56)</f>
        <v>18.4216666666667</v>
      </c>
      <c r="M56" s="8" t="n">
        <f aca="false">AVERAGE(G45:G56)</f>
        <v>15.3228333333333</v>
      </c>
      <c r="N56" s="8" t="n">
        <f aca="false">AVERAGE(G51:G62)</f>
        <v>20.6008333333333</v>
      </c>
      <c r="O56" s="9" t="n">
        <f aca="false">IFERROR(G56/G8,"")</f>
        <v>0.699760300596009</v>
      </c>
      <c r="P56" s="8" t="n">
        <f aca="false">AVERAGEIFS($G:$G,$D:$D,D56,$C:$C,"&lt;="&amp;Source!$B$8)-AVERAGEIFS($G:$G,$C:$C,"&lt;="&amp;Source!$B$8)</f>
        <v>0.120483333333333</v>
      </c>
      <c r="Q56" s="8" t="n">
        <f aca="false">G56-P56</f>
        <v>21.4825166666667</v>
      </c>
      <c r="R56" s="8" t="n">
        <f aca="false">INTERCEPT($G$2:$G$61,$A$2:$A$61)+SLOPE($G$2:$G$61,$A$2:$A$61)*A56</f>
        <v>9.52713785310734</v>
      </c>
      <c r="S56" s="8" t="n">
        <f aca="false">G56-R56</f>
        <v>12.0758621468927</v>
      </c>
      <c r="T56" s="8" t="n">
        <f aca="false">ABS(S56)</f>
        <v>12.0758621468927</v>
      </c>
      <c r="U56" s="10" t="n">
        <f aca="false">IFERROR((S56-AVERAGE($S$2:$S$61))/stdev.s($S$2:$S$61),"")</f>
        <v>1.07727067600917</v>
      </c>
      <c r="V56" s="6" t="str">
        <f aca="false">IF(ABS(U56)&gt;=Source!$B$10,"Anomaly","")</f>
        <v/>
      </c>
      <c r="W56" s="8" t="n">
        <f aca="false">IF(A56&lt;=12,"",G56-INDEX($G:$G,ROW()-12))</f>
        <v>12.323</v>
      </c>
      <c r="X56" s="6" t="str">
        <f aca="false">IF(C56=2019,"Baseline",IF(C56&lt;=2021,"COVID shock",IF(C56=2022,"Reopening","Recovery")))</f>
        <v>Recovery</v>
      </c>
      <c r="Y56" s="9" t="n">
        <f aca="false">IFERROR(ABS(S56/G56),"")</f>
        <v>0.558990054478205</v>
      </c>
    </row>
    <row r="57" customFormat="false" ht="15" hidden="false" customHeight="false" outlineLevel="0" collapsed="false">
      <c r="A57" s="6" t="n">
        <v>56</v>
      </c>
      <c r="B57" s="7" t="n">
        <v>45139</v>
      </c>
      <c r="C57" s="6" t="n">
        <f aca="false">YEAR(B57)</f>
        <v>2023</v>
      </c>
      <c r="D57" s="6" t="n">
        <f aca="false">MONTH(B57)</f>
        <v>8</v>
      </c>
      <c r="E57" s="6" t="str">
        <f aca="false">TEXT(B57,"mmm")</f>
        <v>Aug</v>
      </c>
      <c r="F57" s="6" t="s">
        <v>8</v>
      </c>
      <c r="G57" s="8" t="n">
        <v>22.106</v>
      </c>
      <c r="H57" s="8" t="n">
        <f aca="false">IFERROR(LN(G57),"")</f>
        <v>3.09584906488876</v>
      </c>
      <c r="I57" s="8" t="n">
        <f aca="false">IF(A57=1,"",G57-G56)</f>
        <v>0.503</v>
      </c>
      <c r="J57" s="9" t="n">
        <f aca="false">IFERROR(G57/INDEX($G:$G,MATCH(DATE(C57-1,D57,1),$B:$B,0))-1,"")</f>
        <v>1.38211206896552</v>
      </c>
      <c r="K57" s="8" t="n">
        <f aca="false">AVERAGE(G55:G57)</f>
        <v>21.101</v>
      </c>
      <c r="L57" s="8" t="n">
        <f aca="false">AVERAGE(G52:G57)</f>
        <v>19.5101666666667</v>
      </c>
      <c r="M57" s="8" t="n">
        <f aca="false">AVERAGE(G46:G57)</f>
        <v>16.3916666666667</v>
      </c>
      <c r="N57" s="8" t="n">
        <f aca="false">AVERAGE(G52:G63)</f>
        <v>21.44375</v>
      </c>
      <c r="O57" s="9" t="n">
        <f aca="false">IFERROR(G57/G9,"")</f>
        <v>0.727985246657446</v>
      </c>
      <c r="P57" s="8" t="n">
        <f aca="false">AVERAGEIFS($G:$G,$D:$D,D57,$C:$C,"&lt;="&amp;Source!$B$8)-AVERAGEIFS($G:$G,$C:$C,"&lt;="&amp;Source!$B$8)</f>
        <v>0.269483333333334</v>
      </c>
      <c r="Q57" s="8" t="n">
        <f aca="false">G57-P57</f>
        <v>21.8365166666667</v>
      </c>
      <c r="R57" s="8" t="n">
        <f aca="false">INTERCEPT($G$2:$G$61,$A$2:$A$61)+SLOPE($G$2:$G$61,$A$2:$A$61)*A57</f>
        <v>9.38618361581921</v>
      </c>
      <c r="S57" s="8" t="n">
        <f aca="false">G57-R57</f>
        <v>12.7198163841808</v>
      </c>
      <c r="T57" s="8" t="n">
        <f aca="false">ABS(S57)</f>
        <v>12.7198163841808</v>
      </c>
      <c r="U57" s="10" t="n">
        <f aca="false">IFERROR((S57-AVERAGE($S$2:$S$61))/stdev.s($S$2:$S$61),"")</f>
        <v>1.13471692772055</v>
      </c>
      <c r="V57" s="6" t="str">
        <f aca="false">IF(ABS(U57)&gt;=Source!$B$10,"Anomaly","")</f>
        <v/>
      </c>
      <c r="W57" s="8" t="n">
        <f aca="false">IF(A57&lt;=12,"",G57-INDEX($G:$G,ROW()-12))</f>
        <v>12.826</v>
      </c>
      <c r="X57" s="6" t="str">
        <f aca="false">IF(C57=2019,"Baseline",IF(C57&lt;=2021,"COVID shock",IF(C57=2022,"Reopening","Recovery")))</f>
        <v>Recovery</v>
      </c>
      <c r="Y57" s="9" t="n">
        <f aca="false">IFERROR(ABS(S57/G57),"")</f>
        <v>0.57540108496249</v>
      </c>
    </row>
    <row r="58" customFormat="false" ht="15" hidden="false" customHeight="false" outlineLevel="0" collapsed="false">
      <c r="A58" s="6" t="n">
        <v>57</v>
      </c>
      <c r="B58" s="7" t="n">
        <v>45170</v>
      </c>
      <c r="C58" s="6" t="n">
        <f aca="false">YEAR(B58)</f>
        <v>2023</v>
      </c>
      <c r="D58" s="6" t="n">
        <f aca="false">MONTH(B58)</f>
        <v>9</v>
      </c>
      <c r="E58" s="6" t="str">
        <f aca="false">TEXT(B58,"mmm")</f>
        <v>Sep</v>
      </c>
      <c r="F58" s="6" t="s">
        <v>8</v>
      </c>
      <c r="G58" s="8" t="n">
        <v>20.297</v>
      </c>
      <c r="H58" s="8" t="n">
        <f aca="false">IFERROR(LN(G58),"")</f>
        <v>3.01047309187549</v>
      </c>
      <c r="I58" s="8" t="n">
        <f aca="false">IF(A58=1,"",G58-G57)</f>
        <v>-1.809</v>
      </c>
      <c r="J58" s="9" t="n">
        <f aca="false">IFERROR(G58/INDEX($G:$G,MATCH(DATE(C58-1,D58,1),$B:$B,0))-1,"")</f>
        <v>1.13787655361281</v>
      </c>
      <c r="K58" s="8" t="n">
        <f aca="false">AVERAGE(G56:G58)</f>
        <v>21.3353333333333</v>
      </c>
      <c r="L58" s="8" t="n">
        <f aca="false">AVERAGE(G53:G58)</f>
        <v>19.9623333333333</v>
      </c>
      <c r="M58" s="8" t="n">
        <f aca="false">AVERAGE(G47:G58)</f>
        <v>17.2919166666667</v>
      </c>
      <c r="N58" s="8" t="n">
        <f aca="false">AVERAGE(G53:G64)</f>
        <v>22.1534166666667</v>
      </c>
      <c r="O58" s="9" t="n">
        <f aca="false">IFERROR(G58/G10,"")</f>
        <v>0.748221329302909</v>
      </c>
      <c r="P58" s="8" t="n">
        <f aca="false">AVERAGEIFS($G:$G,$D:$D,D58,$C:$C,"&lt;="&amp;Source!$B$8)-AVERAGEIFS($G:$G,$C:$C,"&lt;="&amp;Source!$B$8)</f>
        <v>-0.812516666666667</v>
      </c>
      <c r="Q58" s="8" t="n">
        <f aca="false">G58-P58</f>
        <v>21.1095166666667</v>
      </c>
      <c r="R58" s="8" t="n">
        <f aca="false">INTERCEPT($G$2:$G$61,$A$2:$A$61)+SLOPE($G$2:$G$61,$A$2:$A$61)*A58</f>
        <v>9.24522937853107</v>
      </c>
      <c r="S58" s="8" t="n">
        <f aca="false">G58-R58</f>
        <v>11.0517706214689</v>
      </c>
      <c r="T58" s="8" t="n">
        <f aca="false">ABS(S58)</f>
        <v>11.0517706214689</v>
      </c>
      <c r="U58" s="10" t="n">
        <f aca="false">IFERROR((S58-AVERAGE($S$2:$S$61))/stdev.s($S$2:$S$61),"")</f>
        <v>0.98591291153085</v>
      </c>
      <c r="V58" s="6" t="str">
        <f aca="false">IF(ABS(U58)&gt;=Source!$B$10,"Anomaly","")</f>
        <v/>
      </c>
      <c r="W58" s="8" t="n">
        <f aca="false">IF(A58&lt;=12,"",G58-INDEX($G:$G,ROW()-12))</f>
        <v>10.803</v>
      </c>
      <c r="X58" s="6" t="str">
        <f aca="false">IF(C58=2019,"Baseline",IF(C58&lt;=2021,"COVID shock",IF(C58=2022,"Reopening","Recovery")))</f>
        <v>Recovery</v>
      </c>
      <c r="Y58" s="9" t="n">
        <f aca="false">IFERROR(ABS(S58/G58),"")</f>
        <v>0.544502666476274</v>
      </c>
    </row>
    <row r="59" customFormat="false" ht="15" hidden="false" customHeight="false" outlineLevel="0" collapsed="false">
      <c r="A59" s="6" t="n">
        <v>58</v>
      </c>
      <c r="B59" s="7" t="n">
        <v>45200</v>
      </c>
      <c r="C59" s="6" t="n">
        <f aca="false">YEAR(B59)</f>
        <v>2023</v>
      </c>
      <c r="D59" s="6" t="n">
        <f aca="false">MONTH(B59)</f>
        <v>10</v>
      </c>
      <c r="E59" s="6" t="str">
        <f aca="false">TEXT(B59,"mmm")</f>
        <v>Oct</v>
      </c>
      <c r="F59" s="6" t="s">
        <v>8</v>
      </c>
      <c r="G59" s="8" t="n">
        <v>21.704</v>
      </c>
      <c r="H59" s="8" t="n">
        <f aca="false">IFERROR(LN(G59),"")</f>
        <v>3.07749657535663</v>
      </c>
      <c r="I59" s="8" t="n">
        <f aca="false">IF(A59=1,"",G59-G58)</f>
        <v>1.407</v>
      </c>
      <c r="J59" s="9" t="n">
        <f aca="false">IFERROR(G59/INDEX($G:$G,MATCH(DATE(C59-1,D59,1),$B:$B,0))-1,"")</f>
        <v>0.937857142857143</v>
      </c>
      <c r="K59" s="8" t="n">
        <f aca="false">AVERAGE(G57:G59)</f>
        <v>21.369</v>
      </c>
      <c r="L59" s="8" t="n">
        <f aca="false">AVERAGE(G54:G59)</f>
        <v>20.5651666666667</v>
      </c>
      <c r="M59" s="8" t="n">
        <f aca="false">AVERAGE(G48:G59)</f>
        <v>18.16725</v>
      </c>
      <c r="N59" s="8" t="str">
        <f aca="false">""</f>
        <v/>
      </c>
      <c r="O59" s="9" t="n">
        <f aca="false">IFERROR(G59/G11,"")</f>
        <v>0.739388158342986</v>
      </c>
      <c r="P59" s="8" t="n">
        <f aca="false">AVERAGEIFS($G:$G,$D:$D,D59,$C:$C,"&lt;="&amp;Source!$B$8)-AVERAGEIFS($G:$G,$C:$C,"&lt;="&amp;Source!$B$8)</f>
        <v>0.087883333333334</v>
      </c>
      <c r="Q59" s="8" t="n">
        <f aca="false">G59-P59</f>
        <v>21.6161166666667</v>
      </c>
      <c r="R59" s="8" t="n">
        <f aca="false">INTERCEPT($G$2:$G$61,$A$2:$A$61)+SLOPE($G$2:$G$61,$A$2:$A$61)*A59</f>
        <v>9.10427514124294</v>
      </c>
      <c r="S59" s="8" t="n">
        <f aca="false">G59-R59</f>
        <v>12.5997248587571</v>
      </c>
      <c r="T59" s="8" t="n">
        <f aca="false">ABS(S59)</f>
        <v>12.5997248587571</v>
      </c>
      <c r="U59" s="10" t="n">
        <f aca="false">IFERROR((S59-AVERAGE($S$2:$S$61))/stdev.s($S$2:$S$61),"")</f>
        <v>1.1240037316603</v>
      </c>
      <c r="V59" s="6" t="str">
        <f aca="false">IF(ABS(U59)&gt;=Source!$B$10,"Anomaly","")</f>
        <v/>
      </c>
      <c r="W59" s="8" t="n">
        <f aca="false">IF(A59&lt;=12,"",G59-INDEX($G:$G,ROW()-12))</f>
        <v>10.504</v>
      </c>
      <c r="X59" s="6" t="str">
        <f aca="false">IF(C59=2019,"Baseline",IF(C59&lt;=2021,"COVID shock",IF(C59=2022,"Reopening","Recovery")))</f>
        <v>Recovery</v>
      </c>
      <c r="Y59" s="9" t="n">
        <f aca="false">IFERROR(ABS(S59/G59),"")</f>
        <v>0.580525472666654</v>
      </c>
    </row>
    <row r="60" customFormat="false" ht="15" hidden="false" customHeight="false" outlineLevel="0" collapsed="false">
      <c r="A60" s="6" t="n">
        <v>59</v>
      </c>
      <c r="B60" s="7" t="n">
        <v>45231</v>
      </c>
      <c r="C60" s="6" t="n">
        <f aca="false">YEAR(B60)</f>
        <v>2023</v>
      </c>
      <c r="D60" s="6" t="n">
        <f aca="false">MONTH(B60)</f>
        <v>11</v>
      </c>
      <c r="E60" s="6" t="str">
        <f aca="false">TEXT(B60,"mmm")</f>
        <v>Nov</v>
      </c>
      <c r="F60" s="6" t="s">
        <v>8</v>
      </c>
      <c r="G60" s="8" t="n">
        <v>22.307</v>
      </c>
      <c r="H60" s="8" t="n">
        <f aca="false">IFERROR(LN(G60),"")</f>
        <v>3.10490053055464</v>
      </c>
      <c r="I60" s="8" t="n">
        <f aca="false">IF(A60=1,"",G60-G59)</f>
        <v>0.602999999999998</v>
      </c>
      <c r="J60" s="9" t="n">
        <f aca="false">IFERROR(G60/INDEX($G:$G,MATCH(DATE(C60-1,D60,1),$B:$B,0))-1,"")</f>
        <v>0.742734375</v>
      </c>
      <c r="K60" s="8" t="n">
        <f aca="false">AVERAGE(G58:G60)</f>
        <v>21.436</v>
      </c>
      <c r="L60" s="8" t="n">
        <f aca="false">AVERAGE(G55:G60)</f>
        <v>21.2685</v>
      </c>
      <c r="M60" s="8" t="n">
        <f aca="false">AVERAGE(G49:G60)</f>
        <v>18.9595</v>
      </c>
      <c r="N60" s="8" t="str">
        <f aca="false">""</f>
        <v/>
      </c>
      <c r="O60" s="9" t="n">
        <f aca="false">IFERROR(G60/G12,"")</f>
        <v>0.754736770875626</v>
      </c>
      <c r="P60" s="8" t="n">
        <f aca="false">AVERAGEIFS($G:$G,$D:$D,D60,$C:$C,"&lt;="&amp;Source!$B$8)-AVERAGEIFS($G:$G,$C:$C,"&lt;="&amp;Source!$B$8)</f>
        <v>0.672283333333333</v>
      </c>
      <c r="Q60" s="8" t="n">
        <f aca="false">G60-P60</f>
        <v>21.6347166666667</v>
      </c>
      <c r="R60" s="8" t="n">
        <f aca="false">INTERCEPT($G$2:$G$61,$A$2:$A$61)+SLOPE($G$2:$G$61,$A$2:$A$61)*A60</f>
        <v>8.9633209039548</v>
      </c>
      <c r="S60" s="8" t="n">
        <f aca="false">G60-R60</f>
        <v>13.3436790960452</v>
      </c>
      <c r="T60" s="8" t="n">
        <f aca="false">ABS(S60)</f>
        <v>13.3436790960452</v>
      </c>
      <c r="U60" s="10" t="n">
        <f aca="false">IFERROR((S60-AVERAGE($S$2:$S$61))/stdev.s($S$2:$S$61),"")</f>
        <v>1.19037084270997</v>
      </c>
      <c r="V60" s="6" t="str">
        <f aca="false">IF(ABS(U60)&gt;=Source!$B$10,"Anomaly","")</f>
        <v/>
      </c>
      <c r="W60" s="8" t="n">
        <f aca="false">IF(A60&lt;=12,"",G60-INDEX($G:$G,ROW()-12))</f>
        <v>9.507</v>
      </c>
      <c r="X60" s="6" t="str">
        <f aca="false">IF(C60=2019,"Baseline",IF(C60&lt;=2021,"COVID shock",IF(C60=2022,"Reopening","Recovery")))</f>
        <v>Recovery</v>
      </c>
      <c r="Y60" s="9" t="n">
        <f aca="false">IFERROR(ABS(S60/G60),"")</f>
        <v>0.598183489310315</v>
      </c>
    </row>
    <row r="61" customFormat="false" ht="15" hidden="false" customHeight="false" outlineLevel="0" collapsed="false">
      <c r="A61" s="6" t="n">
        <v>60</v>
      </c>
      <c r="B61" s="7" t="n">
        <v>45261</v>
      </c>
      <c r="C61" s="6" t="n">
        <f aca="false">YEAR(B61)</f>
        <v>2023</v>
      </c>
      <c r="D61" s="6" t="n">
        <f aca="false">MONTH(B61)</f>
        <v>12</v>
      </c>
      <c r="E61" s="6" t="str">
        <f aca="false">TEXT(B61,"mmm")</f>
        <v>Dec</v>
      </c>
      <c r="F61" s="6" t="s">
        <v>8</v>
      </c>
      <c r="G61" s="8" t="n">
        <v>25.723</v>
      </c>
      <c r="H61" s="8" t="n">
        <f aca="false">IFERROR(LN(G61),"")</f>
        <v>3.24738553331392</v>
      </c>
      <c r="I61" s="8" t="n">
        <f aca="false">IF(A61=1,"",G61-G60)</f>
        <v>3.416</v>
      </c>
      <c r="J61" s="9" t="n">
        <f aca="false">IFERROR(G61/INDEX($G:$G,MATCH(DATE(C61-1,D61,1),$B:$B,0))-1,"")</f>
        <v>0.6076875</v>
      </c>
      <c r="K61" s="8" t="n">
        <f aca="false">AVERAGE(G59:G61)</f>
        <v>23.2446666666667</v>
      </c>
      <c r="L61" s="8" t="n">
        <f aca="false">AVERAGE(G56:G61)</f>
        <v>22.29</v>
      </c>
      <c r="M61" s="8" t="n">
        <f aca="false">AVERAGE(G50:G61)</f>
        <v>19.76975</v>
      </c>
      <c r="N61" s="8" t="str">
        <f aca="false">""</f>
        <v/>
      </c>
      <c r="O61" s="9" t="n">
        <f aca="false">IFERROR(G61/G13,"")</f>
        <v>0.811912126759674</v>
      </c>
      <c r="P61" s="8" t="n">
        <f aca="false">AVERAGEIFS($G:$G,$D:$D,D61,$C:$C,"&lt;="&amp;Source!$B$8)-AVERAGEIFS($G:$G,$C:$C,"&lt;="&amp;Source!$B$8)</f>
        <v>2.62048333333333</v>
      </c>
      <c r="Q61" s="8" t="n">
        <f aca="false">G61-P61</f>
        <v>23.1025166666667</v>
      </c>
      <c r="R61" s="8" t="n">
        <f aca="false">INTERCEPT($G$2:$G$61,$A$2:$A$61)+SLOPE($G$2:$G$61,$A$2:$A$61)*A61</f>
        <v>8.82236666666666</v>
      </c>
      <c r="S61" s="8" t="n">
        <f aca="false">G61-R61</f>
        <v>16.9006333333333</v>
      </c>
      <c r="T61" s="8" t="n">
        <f aca="false">ABS(S61)</f>
        <v>16.9006333333333</v>
      </c>
      <c r="U61" s="10" t="n">
        <f aca="false">IFERROR((S61-AVERAGE($S$2:$S$61))/stdev.s($S$2:$S$61),"")</f>
        <v>1.50768172694552</v>
      </c>
      <c r="V61" s="6" t="str">
        <f aca="false">IF(ABS(U61)&gt;=Source!$B$10,"Anomaly","")</f>
        <v/>
      </c>
      <c r="W61" s="8" t="n">
        <f aca="false">IF(A61&lt;=12,"",G61-INDEX($G:$G,ROW()-12))</f>
        <v>9.723</v>
      </c>
      <c r="X61" s="6" t="str">
        <f aca="false">IF(C61=2019,"Baseline",IF(C61&lt;=2021,"COVID shock",IF(C61=2022,"Reopening","Recovery")))</f>
        <v>Recovery</v>
      </c>
      <c r="Y61" s="9" t="n">
        <f aca="false">IFERROR(ABS(S61/G61),"")</f>
        <v>0.657024193652892</v>
      </c>
    </row>
    <row r="62" customFormat="false" ht="15" hidden="false" customHeight="false" outlineLevel="0" collapsed="false">
      <c r="A62" s="6" t="n">
        <v>61</v>
      </c>
      <c r="B62" s="7" t="n">
        <v>45292</v>
      </c>
      <c r="C62" s="6" t="n">
        <f aca="false">YEAR(B62)</f>
        <v>2024</v>
      </c>
      <c r="D62" s="6" t="n">
        <f aca="false">MONTH(B62)</f>
        <v>1</v>
      </c>
      <c r="E62" s="6" t="str">
        <f aca="false">TEXT(B62,"mmm")</f>
        <v>Jan</v>
      </c>
      <c r="F62" s="6" t="s">
        <v>8</v>
      </c>
      <c r="G62" s="8" t="n">
        <v>24.543</v>
      </c>
      <c r="H62" s="8" t="n">
        <f aca="false">IFERROR(LN(G62),"")</f>
        <v>3.20042668119967</v>
      </c>
      <c r="I62" s="8" t="n">
        <f aca="false">IF(A62=1,"",G62-G61)</f>
        <v>-1.18</v>
      </c>
      <c r="J62" s="9" t="n">
        <f aca="false">IFERROR(G62/INDEX($G:$G,MATCH(DATE(C62-1,D62,1),$B:$B,0))-1,"")</f>
        <v>0.684488675360329</v>
      </c>
      <c r="K62" s="8" t="n">
        <f aca="false">AVERAGE(G60:G62)</f>
        <v>24.191</v>
      </c>
      <c r="L62" s="8" t="n">
        <f aca="false">AVERAGE(G57:G62)</f>
        <v>22.78</v>
      </c>
      <c r="M62" s="8" t="n">
        <f aca="false">AVERAGE(G51:G62)</f>
        <v>20.6008333333333</v>
      </c>
      <c r="N62" s="8" t="str">
        <f aca="false">""</f>
        <v/>
      </c>
      <c r="O62" s="9" t="n">
        <f aca="false">IFERROR(G62/G2,"")</f>
        <v>0.794992225965276</v>
      </c>
      <c r="P62" s="8" t="n">
        <f aca="false">AVERAGEIFS($G:$G,$D:$D,D62,$C:$C,"&lt;="&amp;Source!$B$8)-AVERAGEIFS($G:$G,$C:$C,"&lt;="&amp;Source!$B$8)</f>
        <v>2.60408333333333</v>
      </c>
      <c r="Q62" s="8" t="n">
        <f aca="false">G62-P62</f>
        <v>21.9389166666667</v>
      </c>
      <c r="R62" s="8" t="n">
        <f aca="false">INTERCEPT($G$2:$G$61,$A$2:$A$61)+SLOPE($G$2:$G$61,$A$2:$A$61)*A62</f>
        <v>8.68141242937853</v>
      </c>
      <c r="S62" s="8" t="n">
        <f aca="false">G62-R62</f>
        <v>15.8615875706215</v>
      </c>
      <c r="T62" s="8" t="n">
        <f aca="false">ABS(S62)</f>
        <v>15.8615875706215</v>
      </c>
      <c r="U62" s="10" t="n">
        <f aca="false">IFERROR((S62-AVERAGE($S$2:$S$61))/stdev.s($S$2:$S$61),"")</f>
        <v>1.41498991599361</v>
      </c>
      <c r="V62" s="6" t="str">
        <f aca="false">IF(ABS(U62)&gt;=Source!$B$10,"Anomaly","")</f>
        <v/>
      </c>
      <c r="W62" s="8" t="n">
        <f aca="false">IF(A62&lt;=12,"",G62-INDEX($G:$G,ROW()-12))</f>
        <v>9.973</v>
      </c>
      <c r="X62" s="6" t="str">
        <f aca="false">IF(C62=2019,"Baseline",IF(C62&lt;=2021,"COVID shock",IF(C62=2022,"Reopening","Recovery")))</f>
        <v>Recovery</v>
      </c>
      <c r="Y62" s="9" t="n">
        <f aca="false">IFERROR(ABS(S62/G62),"")</f>
        <v>0.646277454696715</v>
      </c>
    </row>
    <row r="63" customFormat="false" ht="15" hidden="false" customHeight="false" outlineLevel="0" collapsed="false">
      <c r="A63" s="6" t="n">
        <v>62</v>
      </c>
      <c r="B63" s="7" t="n">
        <v>45323</v>
      </c>
      <c r="C63" s="6" t="n">
        <f aca="false">YEAR(B63)</f>
        <v>2024</v>
      </c>
      <c r="D63" s="6" t="n">
        <f aca="false">MONTH(B63)</f>
        <v>2</v>
      </c>
      <c r="E63" s="6" t="str">
        <f aca="false">TEXT(B63,"mmm")</f>
        <v>Feb</v>
      </c>
      <c r="F63" s="6" t="s">
        <v>8</v>
      </c>
      <c r="G63" s="8" t="n">
        <v>25.69</v>
      </c>
      <c r="H63" s="8" t="n">
        <f aca="false">IFERROR(LN(G63),"")</f>
        <v>3.24610181112179</v>
      </c>
      <c r="I63" s="8" t="n">
        <f aca="false">IF(A63=1,"",G63-G62)</f>
        <v>1.147</v>
      </c>
      <c r="J63" s="9" t="n">
        <f aca="false">IFERROR(G63/INDEX($G:$G,MATCH(DATE(C63-1,D63,1),$B:$B,0))-1,"")</f>
        <v>0.649438202247191</v>
      </c>
      <c r="K63" s="8" t="n">
        <f aca="false">AVERAGE(G61:G63)</f>
        <v>25.3186666666667</v>
      </c>
      <c r="L63" s="8" t="n">
        <f aca="false">AVERAGE(G58:G63)</f>
        <v>23.3773333333333</v>
      </c>
      <c r="M63" s="8" t="n">
        <f aca="false">AVERAGE(G52:G63)</f>
        <v>21.44375</v>
      </c>
      <c r="N63" s="8" t="str">
        <f aca="false">""</f>
        <v/>
      </c>
      <c r="O63" s="9" t="n">
        <f aca="false">IFERROR(G63/G3,"")</f>
        <v>0.846011987090825</v>
      </c>
      <c r="P63" s="8" t="n">
        <f aca="false">AVERAGEIFS($G:$G,$D:$D,D63,$C:$C,"&lt;="&amp;Source!$B$8)-AVERAGEIFS($G:$G,$C:$C,"&lt;="&amp;Source!$B$8)</f>
        <v>0.254283333333332</v>
      </c>
      <c r="Q63" s="8" t="n">
        <f aca="false">G63-P63</f>
        <v>25.4357166666667</v>
      </c>
      <c r="R63" s="8" t="n">
        <f aca="false">INTERCEPT($G$2:$G$61,$A$2:$A$61)+SLOPE($G$2:$G$61,$A$2:$A$61)*A63</f>
        <v>8.54045819209039</v>
      </c>
      <c r="S63" s="8" t="n">
        <f aca="false">G63-R63</f>
        <v>17.1495418079096</v>
      </c>
      <c r="T63" s="8" t="n">
        <f aca="false">ABS(S63)</f>
        <v>17.1495418079096</v>
      </c>
      <c r="U63" s="10" t="n">
        <f aca="false">IFERROR((S63-AVERAGE($S$2:$S$61))/stdev.s($S$2:$S$61),"")</f>
        <v>1.52988650184353</v>
      </c>
      <c r="V63" s="6" t="str">
        <f aca="false">IF(ABS(U63)&gt;=Source!$B$10,"Anomaly","")</f>
        <v/>
      </c>
      <c r="W63" s="8" t="n">
        <f aca="false">IF(A63&lt;=12,"",G63-INDEX($G:$G,ROW()-12))</f>
        <v>10.115</v>
      </c>
      <c r="X63" s="6" t="str">
        <f aca="false">IF(C63=2019,"Baseline",IF(C63&lt;=2021,"COVID shock",IF(C63=2022,"Reopening","Recovery")))</f>
        <v>Recovery</v>
      </c>
      <c r="Y63" s="9" t="n">
        <f aca="false">IFERROR(ABS(S63/G63),"")</f>
        <v>0.667557096454247</v>
      </c>
    </row>
    <row r="64" customFormat="false" ht="15" hidden="false" customHeight="false" outlineLevel="0" collapsed="false">
      <c r="A64" s="6" t="n">
        <v>63</v>
      </c>
      <c r="B64" s="7" t="n">
        <v>45352</v>
      </c>
      <c r="C64" s="6" t="n">
        <f aca="false">YEAR(B64)</f>
        <v>2024</v>
      </c>
      <c r="D64" s="6" t="n">
        <f aca="false">MONTH(B64)</f>
        <v>3</v>
      </c>
      <c r="E64" s="6" t="str">
        <f aca="false">TEXT(B64,"mmm")</f>
        <v>Mar</v>
      </c>
      <c r="F64" s="6" t="s">
        <v>8</v>
      </c>
      <c r="G64" s="8" t="n">
        <v>26.1</v>
      </c>
      <c r="H64" s="8" t="n">
        <f aca="false">IFERROR(LN(G64),"")</f>
        <v>3.26193531432865</v>
      </c>
      <c r="I64" s="8" t="n">
        <f aca="false">IF(A64=1,"",G64-G63)</f>
        <v>0.41</v>
      </c>
      <c r="J64" s="9" t="n">
        <f aca="false">IFERROR(G64/INDEX($G:$G,MATCH(DATE(C64-1,D64,1),$B:$B,0))-1,"")</f>
        <v>0.484303912647862</v>
      </c>
      <c r="K64" s="8" t="n">
        <f aca="false">AVERAGE(G62:G64)</f>
        <v>25.4443333333333</v>
      </c>
      <c r="L64" s="8" t="n">
        <f aca="false">AVERAGE(G59:G64)</f>
        <v>24.3445</v>
      </c>
      <c r="M64" s="8" t="n">
        <f aca="false">AVERAGE(G53:G64)</f>
        <v>22.1534166666667</v>
      </c>
      <c r="N64" s="8" t="str">
        <f aca="false">""</f>
        <v/>
      </c>
      <c r="O64" s="9" t="n">
        <f aca="false">IFERROR(G64/G4,"")</f>
        <v>0.816007503517274</v>
      </c>
      <c r="P64" s="8" t="n">
        <f aca="false">AVERAGEIFS($G:$G,$D:$D,D64,$C:$C,"&lt;="&amp;Source!$B$8)-AVERAGEIFS($G:$G,$C:$C,"&lt;="&amp;Source!$B$8)</f>
        <v>-1.36531666666667</v>
      </c>
      <c r="Q64" s="8" t="n">
        <f aca="false">G64-P64</f>
        <v>27.4653166666667</v>
      </c>
      <c r="R64" s="8" t="n">
        <f aca="false">INTERCEPT($G$2:$G$61,$A$2:$A$61)+SLOPE($G$2:$G$61,$A$2:$A$61)*A64</f>
        <v>8.39950395480226</v>
      </c>
      <c r="S64" s="8" t="n">
        <f aca="false">G64-R64</f>
        <v>17.7004960451977</v>
      </c>
      <c r="T64" s="8" t="n">
        <f aca="false">ABS(S64)</f>
        <v>17.7004960451977</v>
      </c>
      <c r="U64" s="10" t="n">
        <f aca="false">IFERROR((S64-AVERAGE($S$2:$S$61))/stdev.s($S$2:$S$61),"")</f>
        <v>1.57903635437031</v>
      </c>
      <c r="V64" s="6" t="str">
        <f aca="false">IF(ABS(U64)&gt;=Source!$B$10,"Anomaly","")</f>
        <v/>
      </c>
      <c r="W64" s="8" t="n">
        <f aca="false">IF(A64&lt;=12,"",G64-INDEX($G:$G,ROW()-12))</f>
        <v>8.516</v>
      </c>
      <c r="X64" s="6" t="str">
        <f aca="false">IF(C64=2019,"Baseline",IF(C64&lt;=2021,"COVID shock",IF(C64=2022,"Reopening","Recovery")))</f>
        <v>Recovery</v>
      </c>
      <c r="Y64" s="9" t="n">
        <f aca="false">IFERROR(ABS(S64/G64),"")</f>
        <v>0.678179925103362</v>
      </c>
    </row>
  </sheetData>
  <conditionalFormatting sqref="G2:G64">
    <cfRule type="dataBar" priority="2">
      <dataBar showValue="1" minLength="10" maxLength="90">
        <cfvo type="min" val="0"/>
        <cfvo type="max" val="0"/>
        <color rgb="FF2563EB"/>
      </dataBar>
      <extLst>
        <ext xmlns:x14="http://schemas.microsoft.com/office/spreadsheetml/2009/9/main" uri="{B025F937-C7B1-47D3-B67F-A62EFF666E3E}">
          <x14:id>{636E9BEB-AA60-4D6B-A520-73B43E2CD14D}</x14:id>
        </ext>
      </extLst>
    </cfRule>
  </conditionalFormatting>
  <conditionalFormatting sqref="J2:J64">
    <cfRule type="cellIs" priority="3" operator="lessThan" aboveAverage="0" equalAverage="0" bottom="0" percent="0" rank="0" text="" dxfId="4">
      <formula>0</formula>
    </cfRule>
  </conditionalFormatting>
  <conditionalFormatting sqref="V2:V64">
    <cfRule type="expression" priority="4" aboveAverage="0" equalAverage="0" bottom="0" percent="0" rank="0" text="" dxfId="5">
      <formula>$V2="Anomaly"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6E9BEB-AA60-4D6B-A520-73B43E2CD14D}">
            <x14:dataBar minLength="10" maxLength="90" axisPosition="automatic" gradient="true">
              <x14:cfvo type="min"/>
              <x14:cfvo type="max"/>
              <x14:negativeFillColor rgb="FF2563EB"/>
              <x14:axisColor rgb="FF000000"/>
            </x14:dataBar>
          </x14:cfRule>
          <xm:sqref>G2:G64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2.6"/>
    <col collapsed="false" customWidth="true" hidden="false" outlineLevel="0" max="2" min="2" style="0" width="20.17"/>
    <col collapsed="false" customWidth="true" hidden="false" outlineLevel="0" max="4" min="3" style="0" width="22.69"/>
    <col collapsed="false" customWidth="true" hidden="false" outlineLevel="0" max="5" min="5" style="0" width="17.64"/>
    <col collapsed="false" customWidth="true" hidden="false" outlineLevel="0" max="6" min="6" style="0" width="15.12"/>
    <col collapsed="false" customWidth="true" hidden="false" outlineLevel="0" max="8" min="7" style="0" width="18.9"/>
    <col collapsed="false" customWidth="true" hidden="false" outlineLevel="0" max="9" min="9" style="0" width="20.17"/>
  </cols>
  <sheetData>
    <row r="1" customFormat="false" ht="30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28.35" hidden="false" customHeight="false" outlineLevel="0" collapsed="false">
      <c r="A3" s="3" t="s">
        <v>35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42</v>
      </c>
      <c r="G3" s="3" t="s">
        <v>63</v>
      </c>
      <c r="H3" s="3" t="s">
        <v>64</v>
      </c>
      <c r="I3" s="3" t="s">
        <v>65</v>
      </c>
    </row>
    <row r="4" customFormat="false" ht="15" hidden="false" customHeight="false" outlineLevel="0" collapsed="false">
      <c r="A4" s="6" t="n">
        <v>2019</v>
      </c>
      <c r="B4" s="6" t="n">
        <f aca="false">COUNTIFS(Data!$C:$C,A4)</f>
        <v>12</v>
      </c>
      <c r="C4" s="8" t="n">
        <f aca="false">SUMIFS(Data!$G:$G,Data!$C:$C,A4)</f>
        <v>362.671</v>
      </c>
      <c r="D4" s="8" t="n">
        <f aca="false">IFERROR(C4/B4,"")</f>
        <v>30.2225833333333</v>
      </c>
      <c r="E4" s="9" t="n">
        <f aca="false">IFERROR(C4/INDEX($C:$C,MATCH(Source!$B$9,$A:$A,0)),"")</f>
        <v>1</v>
      </c>
      <c r="F4" s="9" t="str">
        <f aca="false">IFERROR(C4/C3-1,"")</f>
        <v/>
      </c>
      <c r="G4" s="8" t="str">
        <f aca="false">IFERROR(minifs(Data!$G:$G,Data!$C:$C,A4),"")</f>
        <v/>
      </c>
      <c r="H4" s="8" t="n">
        <f aca="false">IFERROR(maxifs(Data!$G:$G,Data!$C:$C,A4),"")</f>
        <v>31.985</v>
      </c>
      <c r="I4" s="6" t="str">
        <f aca="false">IF(B4=12,"Full year","Partial year")</f>
        <v>Full year</v>
      </c>
    </row>
    <row r="5" customFormat="false" ht="15" hidden="false" customHeight="false" outlineLevel="0" collapsed="false">
      <c r="A5" s="6" t="n">
        <v>2020</v>
      </c>
      <c r="B5" s="6" t="n">
        <f aca="false">COUNTIFS(Data!$C:$C,A5)</f>
        <v>12</v>
      </c>
      <c r="C5" s="8" t="n">
        <f aca="false">SUMIFS(Data!$G:$G,Data!$C:$C,A5)</f>
        <v>59.114</v>
      </c>
      <c r="D5" s="8" t="n">
        <f aca="false">IFERROR(C5/B5,"")</f>
        <v>4.92616666666667</v>
      </c>
      <c r="E5" s="9" t="n">
        <f aca="false">IFERROR(C5/INDEX($C:$C,MATCH(Source!$B$9,$A:$A,0)),"")</f>
        <v>0.162996214199647</v>
      </c>
      <c r="F5" s="9" t="n">
        <f aca="false">IFERROR(C5/C4-1,"")</f>
        <v>-0.837003785800354</v>
      </c>
      <c r="G5" s="8" t="str">
        <f aca="false">IFERROR(minifs(Data!$G:$G,Data!$C:$C,A5),"")</f>
        <v/>
      </c>
      <c r="H5" s="8" t="n">
        <f aca="false">IFERROR(maxifs(Data!$G:$G,Data!$C:$C,A5),"")</f>
        <v>28.512</v>
      </c>
      <c r="I5" s="6" t="str">
        <f aca="false">IF(B5=12,"Full year","Partial year")</f>
        <v>Full year</v>
      </c>
    </row>
    <row r="6" customFormat="false" ht="15" hidden="false" customHeight="false" outlineLevel="0" collapsed="false">
      <c r="A6" s="6" t="n">
        <v>2021</v>
      </c>
      <c r="B6" s="6" t="n">
        <f aca="false">COUNTIFS(Data!$C:$C,A6)</f>
        <v>12</v>
      </c>
      <c r="C6" s="8" t="n">
        <f aca="false">SUMIFS(Data!$G:$G,Data!$C:$C,A6)</f>
        <v>26.475</v>
      </c>
      <c r="D6" s="8" t="n">
        <f aca="false">IFERROR(C6/B6,"")</f>
        <v>2.20625</v>
      </c>
      <c r="E6" s="9" t="n">
        <f aca="false">IFERROR(C6/INDEX($C:$C,MATCH(Source!$B$9,$A:$A,0)),"")</f>
        <v>0.0730000468744399</v>
      </c>
      <c r="F6" s="9" t="n">
        <f aca="false">IFERROR(C6/C5-1,"")</f>
        <v>-0.552136549717495</v>
      </c>
      <c r="G6" s="8" t="str">
        <f aca="false">IFERROR(minifs(Data!$G:$G,Data!$C:$C,A6),"")</f>
        <v/>
      </c>
      <c r="H6" s="8" t="n">
        <f aca="false">IFERROR(maxifs(Data!$G:$G,Data!$C:$C,A6),"")</f>
        <v>3.84</v>
      </c>
      <c r="I6" s="6" t="str">
        <f aca="false">IF(B6=12,"Full year","Partial year")</f>
        <v>Full year</v>
      </c>
    </row>
    <row r="7" customFormat="false" ht="15" hidden="false" customHeight="false" outlineLevel="0" collapsed="false">
      <c r="A7" s="6" t="n">
        <v>2022</v>
      </c>
      <c r="B7" s="6" t="n">
        <f aca="false">COUNTIFS(Data!$C:$C,A7)</f>
        <v>12</v>
      </c>
      <c r="C7" s="8" t="n">
        <f aca="false">SUMIFS(Data!$G:$G,Data!$C:$C,A7)</f>
        <v>93.334</v>
      </c>
      <c r="D7" s="8" t="n">
        <f aca="false">IFERROR(C7/B7,"")</f>
        <v>7.77783333333333</v>
      </c>
      <c r="E7" s="9" t="n">
        <f aca="false">IFERROR(C7/INDEX($C:$C,MATCH(Source!$B$9,$A:$A,0)),"")</f>
        <v>0.257351704437355</v>
      </c>
      <c r="F7" s="9" t="n">
        <f aca="false">IFERROR(C7/C6-1,"")</f>
        <v>2.52536355051936</v>
      </c>
      <c r="G7" s="8" t="str">
        <f aca="false">IFERROR(minifs(Data!$G:$G,Data!$C:$C,A7),"")</f>
        <v/>
      </c>
      <c r="H7" s="8" t="n">
        <f aca="false">IFERROR(maxifs(Data!$G:$G,Data!$C:$C,A7),"")</f>
        <v>16</v>
      </c>
      <c r="I7" s="6" t="str">
        <f aca="false">IF(B7=12,"Full year","Partial year")</f>
        <v>Full year</v>
      </c>
    </row>
    <row r="8" customFormat="false" ht="15" hidden="false" customHeight="false" outlineLevel="0" collapsed="false">
      <c r="A8" s="6" t="n">
        <v>2023</v>
      </c>
      <c r="B8" s="6" t="n">
        <f aca="false">COUNTIFS(Data!$C:$C,A8)</f>
        <v>12</v>
      </c>
      <c r="C8" s="8" t="n">
        <f aca="false">SUMIFS(Data!$G:$G,Data!$C:$C,A8)</f>
        <v>237.237</v>
      </c>
      <c r="D8" s="8" t="n">
        <f aca="false">IFERROR(C8/B8,"")</f>
        <v>19.76975</v>
      </c>
      <c r="E8" s="9" t="n">
        <f aca="false">IFERROR(C8/INDEX($C:$C,MATCH(Source!$B$9,$A:$A,0)),"")</f>
        <v>0.654138323714882</v>
      </c>
      <c r="F8" s="9" t="n">
        <f aca="false">IFERROR(C8/C7-1,"")</f>
        <v>1.54180684423683</v>
      </c>
      <c r="G8" s="8" t="str">
        <f aca="false">IFERROR(minifs(Data!$G:$G,Data!$C:$C,A8),"")</f>
        <v/>
      </c>
      <c r="H8" s="8" t="n">
        <f aca="false">IFERROR(maxifs(Data!$G:$G,Data!$C:$C,A8),"")</f>
        <v>25.723</v>
      </c>
      <c r="I8" s="6" t="str">
        <f aca="false">IF(B8=12,"Full year","Partial year")</f>
        <v>Full year</v>
      </c>
    </row>
    <row r="9" customFormat="false" ht="15" hidden="false" customHeight="false" outlineLevel="0" collapsed="false">
      <c r="A9" s="6" t="n">
        <v>2024</v>
      </c>
      <c r="B9" s="6" t="n">
        <f aca="false">COUNTIFS(Data!$C:$C,A9)</f>
        <v>3</v>
      </c>
      <c r="C9" s="8" t="n">
        <f aca="false">SUMIFS(Data!$G:$G,Data!$C:$C,A9)</f>
        <v>76.333</v>
      </c>
      <c r="D9" s="8" t="n">
        <f aca="false">IFERROR(C9/B9,"")</f>
        <v>25.4443333333333</v>
      </c>
      <c r="E9" s="9" t="n">
        <f aca="false">IFERROR(C9/INDEX($C:$C,MATCH(Source!$B$9,$A:$A,0)),"")</f>
        <v>0.210474507197984</v>
      </c>
      <c r="F9" s="9" t="n">
        <f aca="false">IFERROR(C9/C8-1,"")</f>
        <v>-0.678241589633995</v>
      </c>
      <c r="G9" s="8" t="str">
        <f aca="false">IFERROR(minifs(Data!$G:$G,Data!$C:$C,A9),"")</f>
        <v/>
      </c>
      <c r="H9" s="8" t="n">
        <f aca="false">IFERROR(maxifs(Data!$G:$G,Data!$C:$C,A9),"")</f>
        <v>26.1</v>
      </c>
      <c r="I9" s="6" t="str">
        <f aca="false">IF(B9=12,"Full year","Partial year")</f>
        <v>Partial year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0.08"/>
    <col collapsed="false" customWidth="true" hidden="false" outlineLevel="0" max="2" min="2" style="0" width="15.12"/>
    <col collapsed="false" customWidth="true" hidden="false" outlineLevel="0" max="3" min="3" style="0" width="21.43"/>
    <col collapsed="false" customWidth="true" hidden="false" outlineLevel="0" max="4" min="4" style="0" width="15.12"/>
    <col collapsed="false" customWidth="true" hidden="false" outlineLevel="0" max="5" min="5" style="0" width="20.17"/>
    <col collapsed="false" customWidth="true" hidden="false" outlineLevel="0" max="6" min="6" style="0" width="25.21"/>
    <col collapsed="false" customWidth="true" hidden="false" outlineLevel="0" max="8" min="7" style="0" width="15.12"/>
    <col collapsed="false" customWidth="true" hidden="false" outlineLevel="0" max="9" min="9" style="0" width="20.17"/>
    <col collapsed="false" customWidth="true" hidden="false" outlineLevel="0" max="10" min="10" style="0" width="22.69"/>
    <col collapsed="false" customWidth="true" hidden="false" outlineLevel="0" max="11" min="11" style="0" width="12.6"/>
  </cols>
  <sheetData>
    <row r="1" customFormat="false" ht="30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28.35" hidden="false" customHeight="false" outlineLevel="0" collapsed="false">
      <c r="A3" s="3" t="s">
        <v>36</v>
      </c>
      <c r="B3" s="3" t="s">
        <v>37</v>
      </c>
      <c r="C3" s="3" t="s">
        <v>67</v>
      </c>
      <c r="D3" s="3" t="s">
        <v>68</v>
      </c>
      <c r="E3" s="3" t="s">
        <v>69</v>
      </c>
      <c r="F3" s="3" t="s">
        <v>70</v>
      </c>
      <c r="G3" s="3" t="s">
        <v>71</v>
      </c>
      <c r="H3" s="3" t="s">
        <v>72</v>
      </c>
      <c r="I3" s="3" t="s">
        <v>73</v>
      </c>
      <c r="J3" s="3" t="s">
        <v>74</v>
      </c>
      <c r="K3" s="3" t="s">
        <v>75</v>
      </c>
    </row>
    <row r="4" customFormat="false" ht="15" hidden="false" customHeight="false" outlineLevel="0" collapsed="false">
      <c r="A4" s="0" t="n">
        <v>1</v>
      </c>
      <c r="B4" s="0" t="s">
        <v>76</v>
      </c>
      <c r="C4" s="11" t="n">
        <f aca="false">SUMIFS(Data!$G:$G,Data!$C:$C,Source!$B$9,Data!$D:$D,A4)</f>
        <v>30.872</v>
      </c>
      <c r="D4" s="11" t="n">
        <f aca="false">SUMIFS(Data!$G:$G,Data!$C:$C,2023,Data!$D:$D,A4)</f>
        <v>14.57</v>
      </c>
      <c r="E4" s="11" t="n">
        <f aca="false">IF(SUMIFS(Data!$G:$G,Data!$C:$C,2024,Data!$D:$D,A4)=0,"",SUMIFS(Data!$G:$G,Data!$C:$C,2024,Data!$D:$D,A4))</f>
        <v>24.543</v>
      </c>
      <c r="F4" s="11" t="n">
        <f aca="false">AVERAGEIFS(Data!$G:$G,Data!$D:$D,A4,Data!$C:$C,"&gt;="&amp;Source!$B$9,Data!$C:$C,"&lt;="&amp;Source!$B$8)</f>
        <v>15.5846</v>
      </c>
      <c r="G4" s="12" t="n">
        <f aca="false">C4/SUM($C$4:$C$15)</f>
        <v>0.0851239828935868</v>
      </c>
      <c r="H4" s="12" t="n">
        <f aca="false">D4/SUM($D$4:$D$15)</f>
        <v>0.0614153778710741</v>
      </c>
      <c r="I4" s="13" t="n">
        <f aca="false">(H4-G4)*100</f>
        <v>-2.37086050225127</v>
      </c>
      <c r="J4" s="13" t="n">
        <f aca="false">F4-AVERAGE($F$4:$F$15)</f>
        <v>2.60408333333333</v>
      </c>
      <c r="K4" s="0" t="n">
        <f aca="false">rank.eq(D4,$D$4:$D$15,0)</f>
        <v>12</v>
      </c>
    </row>
    <row r="5" customFormat="false" ht="15" hidden="false" customHeight="false" outlineLevel="0" collapsed="false">
      <c r="A5" s="0" t="n">
        <v>2</v>
      </c>
      <c r="B5" s="0" t="s">
        <v>77</v>
      </c>
      <c r="C5" s="11" t="n">
        <f aca="false">SUMIFS(Data!$G:$G,Data!$C:$C,Source!$B$9,Data!$D:$D,A5)</f>
        <v>30.366</v>
      </c>
      <c r="D5" s="11" t="n">
        <f aca="false">SUMIFS(Data!$G:$G,Data!$C:$C,2023,Data!$D:$D,A5)</f>
        <v>15.575</v>
      </c>
      <c r="E5" s="11" t="n">
        <f aca="false">IF(SUMIFS(Data!$G:$G,Data!$C:$C,2024,Data!$D:$D,A5)=0,"",SUMIFS(Data!$G:$G,Data!$C:$C,2024,Data!$D:$D,A5))</f>
        <v>25.69</v>
      </c>
      <c r="F5" s="11" t="n">
        <f aca="false">AVERAGEIFS(Data!$G:$G,Data!$D:$D,A5,Data!$C:$C,"&gt;="&amp;Source!$B$9,Data!$C:$C,"&lt;="&amp;Source!$B$8)</f>
        <v>13.2348</v>
      </c>
      <c r="G5" s="12" t="n">
        <f aca="false">C5/SUM($C$4:$C$15)</f>
        <v>0.0837287789759865</v>
      </c>
      <c r="H5" s="12" t="n">
        <f aca="false">D5/SUM($D$4:$D$15)</f>
        <v>0.0656516479301289</v>
      </c>
      <c r="I5" s="13" t="n">
        <f aca="false">(H5-G5)*100</f>
        <v>-1.80771310458576</v>
      </c>
      <c r="J5" s="13" t="n">
        <f aca="false">F5-AVERAGE($F$4:$F$15)</f>
        <v>0.254283333333332</v>
      </c>
      <c r="K5" s="0" t="n">
        <f aca="false">rank.eq(D5,$D$4:$D$15,0)</f>
        <v>11</v>
      </c>
    </row>
    <row r="6" customFormat="false" ht="15" hidden="false" customHeight="false" outlineLevel="0" collapsed="false">
      <c r="A6" s="0" t="n">
        <v>3</v>
      </c>
      <c r="B6" s="0" t="s">
        <v>78</v>
      </c>
      <c r="C6" s="11" t="n">
        <f aca="false">SUMIFS(Data!$G:$G,Data!$C:$C,Source!$B$9,Data!$D:$D,A6)</f>
        <v>31.985</v>
      </c>
      <c r="D6" s="11" t="n">
        <f aca="false">SUMIFS(Data!$G:$G,Data!$C:$C,2023,Data!$D:$D,A6)</f>
        <v>17.584</v>
      </c>
      <c r="E6" s="11" t="n">
        <f aca="false">IF(SUMIFS(Data!$G:$G,Data!$C:$C,2024,Data!$D:$D,A6)=0,"",SUMIFS(Data!$G:$G,Data!$C:$C,2024,Data!$D:$D,A6))</f>
        <v>26.1</v>
      </c>
      <c r="F6" s="11" t="n">
        <f aca="false">AVERAGEIFS(Data!$G:$G,Data!$D:$D,A6,Data!$C:$C,"&gt;="&amp;Source!$B$9,Data!$C:$C,"&lt;="&amp;Source!$B$8)</f>
        <v>11.6152</v>
      </c>
      <c r="G6" s="12" t="n">
        <f aca="false">C6/SUM($C$4:$C$15)</f>
        <v>0.0881928800483082</v>
      </c>
      <c r="H6" s="12" t="n">
        <f aca="false">D6/SUM($D$4:$D$15)</f>
        <v>0.0741199728541501</v>
      </c>
      <c r="I6" s="13" t="n">
        <f aca="false">(H6-G6)*100</f>
        <v>-1.40729071941582</v>
      </c>
      <c r="J6" s="13" t="n">
        <f aca="false">F6-AVERAGE($F$4:$F$15)</f>
        <v>-1.36531666666667</v>
      </c>
      <c r="K6" s="0" t="n">
        <f aca="false">rank.eq(D6,$D$4:$D$15,0)</f>
        <v>10</v>
      </c>
    </row>
    <row r="7" customFormat="false" ht="15" hidden="false" customHeight="false" outlineLevel="0" collapsed="false">
      <c r="A7" s="0" t="n">
        <v>4</v>
      </c>
      <c r="B7" s="0" t="s">
        <v>79</v>
      </c>
      <c r="C7" s="11" t="n">
        <f aca="false">SUMIFS(Data!$G:$G,Data!$C:$C,Source!$B$9,Data!$D:$D,A7)</f>
        <v>31.581</v>
      </c>
      <c r="D7" s="11" t="n">
        <f aca="false">SUMIFS(Data!$G:$G,Data!$C:$C,2023,Data!$D:$D,A7)</f>
        <v>18.087</v>
      </c>
      <c r="E7" s="11" t="str">
        <f aca="false">IF(SUMIFS(Data!$G:$G,Data!$C:$C,2024,Data!$D:$D,A7)=0,"",SUMIFS(Data!$G:$G,Data!$C:$C,2024,Data!$D:$D,A7))</f>
        <v/>
      </c>
      <c r="F7" s="11" t="n">
        <f aca="false">AVERAGEIFS(Data!$G:$G,Data!$D:$D,A7,Data!$C:$C,"&gt;="&amp;Source!$B$9,Data!$C:$C,"&lt;="&amp;Source!$B$8)</f>
        <v>11.3812</v>
      </c>
      <c r="G7" s="12" t="n">
        <f aca="false">C7/SUM($C$4:$C$15)</f>
        <v>0.0870789227702242</v>
      </c>
      <c r="H7" s="12" t="n">
        <f aca="false">D7/SUM($D$4:$D$15)</f>
        <v>0.0762402154807218</v>
      </c>
      <c r="I7" s="13" t="n">
        <f aca="false">(H7-G7)*100</f>
        <v>-1.08387072895025</v>
      </c>
      <c r="J7" s="13" t="n">
        <f aca="false">F7-AVERAGE($F$4:$F$15)</f>
        <v>-1.59931666666667</v>
      </c>
      <c r="K7" s="0" t="n">
        <f aca="false">rank.eq(D7,$D$4:$D$15,0)</f>
        <v>8</v>
      </c>
    </row>
    <row r="8" customFormat="false" ht="15" hidden="false" customHeight="false" outlineLevel="0" collapsed="false">
      <c r="A8" s="0" t="n">
        <v>5</v>
      </c>
      <c r="B8" s="0" t="s">
        <v>80</v>
      </c>
      <c r="C8" s="11" t="n">
        <f aca="false">SUMIFS(Data!$G:$G,Data!$C:$C,Source!$B$9,Data!$D:$D,A8)</f>
        <v>29.354</v>
      </c>
      <c r="D8" s="11" t="n">
        <f aca="false">SUMIFS(Data!$G:$G,Data!$C:$C,2023,Data!$D:$D,A8)</f>
        <v>18.087</v>
      </c>
      <c r="E8" s="11" t="str">
        <f aca="false">IF(SUMIFS(Data!$G:$G,Data!$C:$C,2024,Data!$D:$D,A8)=0,"",SUMIFS(Data!$G:$G,Data!$C:$C,2024,Data!$D:$D,A8))</f>
        <v/>
      </c>
      <c r="F8" s="11" t="n">
        <f aca="false">AVERAGEIFS(Data!$G:$G,Data!$D:$D,A8,Data!$C:$C,"&gt;="&amp;Source!$B$9,Data!$C:$C,"&lt;="&amp;Source!$B$8)</f>
        <v>11.2344</v>
      </c>
      <c r="G8" s="12" t="n">
        <f aca="false">C8/SUM($C$4:$C$15)</f>
        <v>0.080938371140786</v>
      </c>
      <c r="H8" s="12" t="n">
        <f aca="false">D8/SUM($D$4:$D$15)</f>
        <v>0.0762402154807218</v>
      </c>
      <c r="I8" s="13" t="n">
        <f aca="false">(H8-G8)*100</f>
        <v>-0.469815566006421</v>
      </c>
      <c r="J8" s="13" t="n">
        <f aca="false">F8-AVERAGE($F$4:$F$15)</f>
        <v>-1.74611666666667</v>
      </c>
      <c r="K8" s="0" t="n">
        <f aca="false">rank.eq(D8,$D$4:$D$15,0)</f>
        <v>8</v>
      </c>
    </row>
    <row r="9" customFormat="false" ht="15" hidden="false" customHeight="false" outlineLevel="0" collapsed="false">
      <c r="A9" s="0" t="n">
        <v>6</v>
      </c>
      <c r="B9" s="0" t="s">
        <v>81</v>
      </c>
      <c r="C9" s="11" t="n">
        <f aca="false">SUMIFS(Data!$G:$G,Data!$C:$C,Source!$B$9,Data!$D:$D,A9)</f>
        <v>29.556</v>
      </c>
      <c r="D9" s="11" t="n">
        <f aca="false">SUMIFS(Data!$G:$G,Data!$C:$C,2023,Data!$D:$D,A9)</f>
        <v>19.594</v>
      </c>
      <c r="E9" s="11" t="str">
        <f aca="false">IF(SUMIFS(Data!$G:$G,Data!$C:$C,2024,Data!$D:$D,A9)=0,"",SUMIFS(Data!$G:$G,Data!$C:$C,2024,Data!$D:$D,A9))</f>
        <v/>
      </c>
      <c r="F9" s="11" t="n">
        <f aca="false">AVERAGEIFS(Data!$G:$G,Data!$D:$D,A9,Data!$C:$C,"&gt;="&amp;Source!$B$9,Data!$C:$C,"&lt;="&amp;Source!$B$8)</f>
        <v>11.8748</v>
      </c>
      <c r="G9" s="12" t="n">
        <f aca="false">C9/SUM($C$4:$C$15)</f>
        <v>0.081495349779828</v>
      </c>
      <c r="H9" s="12" t="n">
        <f aca="false">D9/SUM($D$4:$D$15)</f>
        <v>0.0825925129722598</v>
      </c>
      <c r="I9" s="13" t="n">
        <f aca="false">(H9-G9)*100</f>
        <v>0.10971631924318</v>
      </c>
      <c r="J9" s="13" t="n">
        <f aca="false">F9-AVERAGE($F$4:$F$15)</f>
        <v>-1.10571666666667</v>
      </c>
      <c r="K9" s="0" t="n">
        <f aca="false">rank.eq(D9,$D$4:$D$15,0)</f>
        <v>7</v>
      </c>
    </row>
    <row r="10" customFormat="false" ht="15" hidden="false" customHeight="false" outlineLevel="0" collapsed="false">
      <c r="A10" s="0" t="n">
        <v>7</v>
      </c>
      <c r="B10" s="0" t="s">
        <v>82</v>
      </c>
      <c r="C10" s="11" t="n">
        <f aca="false">SUMIFS(Data!$G:$G,Data!$C:$C,Source!$B$9,Data!$D:$D,A10)</f>
        <v>30.872</v>
      </c>
      <c r="D10" s="11" t="n">
        <f aca="false">SUMIFS(Data!$G:$G,Data!$C:$C,2023,Data!$D:$D,A10)</f>
        <v>21.603</v>
      </c>
      <c r="E10" s="11" t="str">
        <f aca="false">IF(SUMIFS(Data!$G:$G,Data!$C:$C,2024,Data!$D:$D,A10)=0,"",SUMIFS(Data!$G:$G,Data!$C:$C,2024,Data!$D:$D,A10))</f>
        <v/>
      </c>
      <c r="F10" s="11" t="n">
        <f aca="false">AVERAGEIFS(Data!$G:$G,Data!$D:$D,A10,Data!$C:$C,"&gt;="&amp;Source!$B$9,Data!$C:$C,"&lt;="&amp;Source!$B$8)</f>
        <v>13.101</v>
      </c>
      <c r="G10" s="12" t="n">
        <f aca="false">C10/SUM($C$4:$C$15)</f>
        <v>0.0851239828935868</v>
      </c>
      <c r="H10" s="12" t="n">
        <f aca="false">D10/SUM($D$4:$D$15)</f>
        <v>0.0910608378962809</v>
      </c>
      <c r="I10" s="13" t="n">
        <f aca="false">(H10-G10)*100</f>
        <v>0.593685500269418</v>
      </c>
      <c r="J10" s="13" t="n">
        <f aca="false">F10-AVERAGE($F$4:$F$15)</f>
        <v>0.120483333333333</v>
      </c>
      <c r="K10" s="0" t="n">
        <f aca="false">rank.eq(D10,$D$4:$D$15,0)</f>
        <v>5</v>
      </c>
    </row>
    <row r="11" customFormat="false" ht="15" hidden="false" customHeight="false" outlineLevel="0" collapsed="false">
      <c r="A11" s="0" t="n">
        <v>8</v>
      </c>
      <c r="B11" s="0" t="s">
        <v>83</v>
      </c>
      <c r="C11" s="11" t="n">
        <f aca="false">SUMIFS(Data!$G:$G,Data!$C:$C,Source!$B$9,Data!$D:$D,A11)</f>
        <v>30.366</v>
      </c>
      <c r="D11" s="11" t="n">
        <f aca="false">SUMIFS(Data!$G:$G,Data!$C:$C,2023,Data!$D:$D,A11)</f>
        <v>22.106</v>
      </c>
      <c r="E11" s="11" t="str">
        <f aca="false">IF(SUMIFS(Data!$G:$G,Data!$C:$C,2024,Data!$D:$D,A11)=0,"",SUMIFS(Data!$G:$G,Data!$C:$C,2024,Data!$D:$D,A11))</f>
        <v/>
      </c>
      <c r="F11" s="11" t="n">
        <f aca="false">AVERAGEIFS(Data!$G:$G,Data!$D:$D,A11,Data!$C:$C,"&gt;="&amp;Source!$B$9,Data!$C:$C,"&lt;="&amp;Source!$B$8)</f>
        <v>13.25</v>
      </c>
      <c r="G11" s="12" t="n">
        <f aca="false">C11/SUM($C$4:$C$15)</f>
        <v>0.0837287789759865</v>
      </c>
      <c r="H11" s="12" t="n">
        <f aca="false">D11/SUM($D$4:$D$15)</f>
        <v>0.0931810805228527</v>
      </c>
      <c r="I11" s="13" t="n">
        <f aca="false">(H11-G11)*100</f>
        <v>0.945230154686617</v>
      </c>
      <c r="J11" s="13" t="n">
        <f aca="false">F11-AVERAGE($F$4:$F$15)</f>
        <v>0.269483333333334</v>
      </c>
      <c r="K11" s="0" t="n">
        <f aca="false">rank.eq(D11,$D$4:$D$15,0)</f>
        <v>3</v>
      </c>
    </row>
    <row r="12" customFormat="false" ht="15" hidden="false" customHeight="false" outlineLevel="0" collapsed="false">
      <c r="A12" s="0" t="n">
        <v>9</v>
      </c>
      <c r="B12" s="0" t="s">
        <v>84</v>
      </c>
      <c r="C12" s="11" t="n">
        <f aca="false">SUMIFS(Data!$G:$G,Data!$C:$C,Source!$B$9,Data!$D:$D,A12)</f>
        <v>27.127</v>
      </c>
      <c r="D12" s="11" t="n">
        <f aca="false">SUMIFS(Data!$G:$G,Data!$C:$C,2023,Data!$D:$D,A12)</f>
        <v>20.297</v>
      </c>
      <c r="E12" s="11" t="str">
        <f aca="false">IF(SUMIFS(Data!$G:$G,Data!$C:$C,2024,Data!$D:$D,A12)=0,"",SUMIFS(Data!$G:$G,Data!$C:$C,2024,Data!$D:$D,A12))</f>
        <v/>
      </c>
      <c r="F12" s="11" t="n">
        <f aca="false">AVERAGEIFS(Data!$G:$G,Data!$D:$D,A12,Data!$C:$C,"&gt;="&amp;Source!$B$9,Data!$C:$C,"&lt;="&amp;Source!$B$8)</f>
        <v>12.168</v>
      </c>
      <c r="G12" s="12" t="n">
        <f aca="false">C12/SUM($C$4:$C$15)</f>
        <v>0.0747978195113477</v>
      </c>
      <c r="H12" s="12" t="n">
        <f aca="false">D12/SUM($D$4:$D$15)</f>
        <v>0.0855557944165539</v>
      </c>
      <c r="I12" s="13" t="n">
        <f aca="false">(H12-G12)*100</f>
        <v>1.07579749052062</v>
      </c>
      <c r="J12" s="13" t="n">
        <f aca="false">F12-AVERAGE($F$4:$F$15)</f>
        <v>-0.812516666666667</v>
      </c>
      <c r="K12" s="0" t="n">
        <f aca="false">rank.eq(D12,$D$4:$D$15,0)</f>
        <v>6</v>
      </c>
    </row>
    <row r="13" customFormat="false" ht="15" hidden="false" customHeight="false" outlineLevel="0" collapsed="false">
      <c r="A13" s="0" t="n">
        <v>10</v>
      </c>
      <c r="B13" s="0" t="s">
        <v>85</v>
      </c>
      <c r="C13" s="11" t="n">
        <f aca="false">SUMIFS(Data!$G:$G,Data!$C:$C,Source!$B$9,Data!$D:$D,A13)</f>
        <v>29.354</v>
      </c>
      <c r="D13" s="11" t="n">
        <f aca="false">SUMIFS(Data!$G:$G,Data!$C:$C,2023,Data!$D:$D,A13)</f>
        <v>21.704</v>
      </c>
      <c r="E13" s="11" t="str">
        <f aca="false">IF(SUMIFS(Data!$G:$G,Data!$C:$C,2024,Data!$D:$D,A13)=0,"",SUMIFS(Data!$G:$G,Data!$C:$C,2024,Data!$D:$D,A13))</f>
        <v/>
      </c>
      <c r="F13" s="11" t="n">
        <f aca="false">AVERAGEIFS(Data!$G:$G,Data!$D:$D,A13,Data!$C:$C,"&gt;="&amp;Source!$B$9,Data!$C:$C,"&lt;="&amp;Source!$B$8)</f>
        <v>13.0684</v>
      </c>
      <c r="G13" s="12" t="n">
        <f aca="false">C13/SUM($C$4:$C$15)</f>
        <v>0.080938371140786</v>
      </c>
      <c r="H13" s="12" t="n">
        <f aca="false">D13/SUM($D$4:$D$15)</f>
        <v>0.0914865724992307</v>
      </c>
      <c r="I13" s="13" t="n">
        <f aca="false">(H13-G13)*100</f>
        <v>1.05482013584447</v>
      </c>
      <c r="J13" s="13" t="n">
        <f aca="false">F13-AVERAGE($F$4:$F$15)</f>
        <v>0.087883333333334</v>
      </c>
      <c r="K13" s="0" t="n">
        <f aca="false">rank.eq(D13,$D$4:$D$15,0)</f>
        <v>4</v>
      </c>
    </row>
    <row r="14" customFormat="false" ht="15" hidden="false" customHeight="false" outlineLevel="0" collapsed="false">
      <c r="A14" s="0" t="n">
        <v>11</v>
      </c>
      <c r="B14" s="0" t="s">
        <v>86</v>
      </c>
      <c r="C14" s="11" t="n">
        <f aca="false">SUMIFS(Data!$G:$G,Data!$C:$C,Source!$B$9,Data!$D:$D,A14)</f>
        <v>29.556</v>
      </c>
      <c r="D14" s="11" t="n">
        <f aca="false">SUMIFS(Data!$G:$G,Data!$C:$C,2023,Data!$D:$D,A14)</f>
        <v>22.307</v>
      </c>
      <c r="E14" s="11" t="str">
        <f aca="false">IF(SUMIFS(Data!$G:$G,Data!$C:$C,2024,Data!$D:$D,A14)=0,"",SUMIFS(Data!$G:$G,Data!$C:$C,2024,Data!$D:$D,A14))</f>
        <v/>
      </c>
      <c r="F14" s="11" t="n">
        <f aca="false">AVERAGEIFS(Data!$G:$G,Data!$D:$D,A14,Data!$C:$C,"&gt;="&amp;Source!$B$9,Data!$C:$C,"&lt;="&amp;Source!$B$8)</f>
        <v>13.6528</v>
      </c>
      <c r="G14" s="12" t="n">
        <f aca="false">C14/SUM($C$4:$C$15)</f>
        <v>0.081495349779828</v>
      </c>
      <c r="H14" s="12" t="n">
        <f aca="false">D14/SUM($D$4:$D$15)</f>
        <v>0.0940283345346636</v>
      </c>
      <c r="I14" s="13" t="n">
        <f aca="false">(H14-G14)*100</f>
        <v>1.25329847548356</v>
      </c>
      <c r="J14" s="13" t="n">
        <f aca="false">F14-AVERAGE($F$4:$F$15)</f>
        <v>0.672283333333333</v>
      </c>
      <c r="K14" s="0" t="n">
        <f aca="false">rank.eq(D14,$D$4:$D$15,0)</f>
        <v>2</v>
      </c>
    </row>
    <row r="15" customFormat="false" ht="15" hidden="false" customHeight="false" outlineLevel="0" collapsed="false">
      <c r="A15" s="0" t="n">
        <v>12</v>
      </c>
      <c r="B15" s="0" t="s">
        <v>87</v>
      </c>
      <c r="C15" s="11" t="n">
        <f aca="false">SUMIFS(Data!$G:$G,Data!$C:$C,Source!$B$9,Data!$D:$D,A15)</f>
        <v>31.682</v>
      </c>
      <c r="D15" s="11" t="n">
        <f aca="false">SUMIFS(Data!$G:$G,Data!$C:$C,2023,Data!$D:$D,A15)</f>
        <v>25.723</v>
      </c>
      <c r="E15" s="11" t="str">
        <f aca="false">IF(SUMIFS(Data!$G:$G,Data!$C:$C,2024,Data!$D:$D,A15)=0,"",SUMIFS(Data!$G:$G,Data!$C:$C,2024,Data!$D:$D,A15))</f>
        <v/>
      </c>
      <c r="F15" s="11" t="n">
        <f aca="false">AVERAGEIFS(Data!$G:$G,Data!$D:$D,A15,Data!$C:$C,"&gt;="&amp;Source!$B$9,Data!$C:$C,"&lt;="&amp;Source!$B$8)</f>
        <v>15.601</v>
      </c>
      <c r="G15" s="12" t="n">
        <f aca="false">C15/SUM($C$4:$C$15)</f>
        <v>0.0873574120897452</v>
      </c>
      <c r="H15" s="12" t="n">
        <f aca="false">D15/SUM($D$4:$D$15)</f>
        <v>0.108427437541362</v>
      </c>
      <c r="I15" s="13" t="n">
        <f aca="false">(H15-G15)*100</f>
        <v>2.10700254516163</v>
      </c>
      <c r="J15" s="13" t="n">
        <f aca="false">F15-AVERAGE($F$4:$F$15)</f>
        <v>2.62048333333333</v>
      </c>
      <c r="K15" s="0" t="n">
        <f aca="false">rank.eq(D15,$D$4:$D$15,0)</f>
        <v>1</v>
      </c>
    </row>
  </sheetData>
  <mergeCells count="1">
    <mergeCell ref="A1:K1"/>
  </mergeCells>
  <conditionalFormatting sqref="J4:J15">
    <cfRule type="colorScale" priority="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0.08"/>
    <col collapsed="false" customWidth="true" hidden="false" outlineLevel="0" max="2" min="2" style="0" width="20.17"/>
    <col collapsed="false" customWidth="true" hidden="false" outlineLevel="0" max="3" min="3" style="0" width="22.69"/>
    <col collapsed="false" customWidth="true" hidden="false" outlineLevel="0" max="4" min="4" style="0" width="27.73"/>
    <col collapsed="false" customWidth="true" hidden="false" outlineLevel="0" max="5" min="5" style="0" width="25.21"/>
    <col collapsed="false" customWidth="true" hidden="false" outlineLevel="0" max="6" min="6" style="0" width="22.69"/>
    <col collapsed="false" customWidth="true" hidden="false" outlineLevel="0" max="8" min="8" style="0" width="32.77"/>
    <col collapsed="false" customWidth="true" hidden="false" outlineLevel="0" max="9" min="9" style="0" width="35.29"/>
    <col collapsed="false" customWidth="true" hidden="false" outlineLevel="0" max="10" min="10" style="0" width="47.89"/>
  </cols>
  <sheetData>
    <row r="1" customFormat="false" ht="30" hidden="false" customHeight="true" outlineLevel="0" collapsed="false">
      <c r="A1" s="1" t="s">
        <v>88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28.35" hidden="false" customHeight="false" outlineLevel="0" collapsed="false">
      <c r="A3" s="3" t="s">
        <v>89</v>
      </c>
      <c r="B3" s="3" t="s">
        <v>90</v>
      </c>
      <c r="C3" s="3" t="s">
        <v>91</v>
      </c>
      <c r="D3" s="3" t="s">
        <v>92</v>
      </c>
      <c r="E3" s="3" t="s">
        <v>93</v>
      </c>
      <c r="F3" s="3" t="s">
        <v>94</v>
      </c>
      <c r="H3" s="3" t="s">
        <v>95</v>
      </c>
      <c r="I3" s="3" t="s">
        <v>96</v>
      </c>
      <c r="J3" s="3" t="s">
        <v>97</v>
      </c>
    </row>
    <row r="4" customFormat="false" ht="15" hidden="false" customHeight="false" outlineLevel="0" collapsed="false">
      <c r="A4" s="0" t="n">
        <v>0</v>
      </c>
      <c r="B4" s="11" t="n">
        <f aca="false">1</f>
        <v>1</v>
      </c>
      <c r="C4" s="11" t="n">
        <f aca="false">1</f>
        <v>1</v>
      </c>
      <c r="D4" s="11" t="n">
        <f aca="false">1</f>
        <v>1</v>
      </c>
      <c r="E4" s="11" t="n">
        <f aca="false">1.96/SQRT(COUNT(Data!$G$2:$G$61))</f>
        <v>0.253034911952218</v>
      </c>
      <c r="F4" s="0" t="str">
        <f aca="false">"Lag 0 baseline"</f>
        <v>Lag 0 baseline</v>
      </c>
      <c r="H4" s="0" t="s">
        <v>98</v>
      </c>
      <c r="I4" s="11" t="n">
        <f aca="false">B5</f>
        <v>0.972340796913012</v>
      </c>
      <c r="J4" s="0" t="s">
        <v>99</v>
      </c>
    </row>
    <row r="5" customFormat="false" ht="15" hidden="false" customHeight="false" outlineLevel="0" collapsed="false">
      <c r="A5" s="0" t="n">
        <v>1</v>
      </c>
      <c r="B5" s="11" t="n">
        <f aca="false">CORREL(Data!$G$2:$G$60,Data!$G$3:$G$61)</f>
        <v>0.972340796913012</v>
      </c>
      <c r="C5" s="11" t="n">
        <f aca="false">CORREL(Data!$I$3:$I$60,Data!$I$4:$I$61)</f>
        <v>0.560784775781055</v>
      </c>
      <c r="D5" s="11" t="n">
        <f aca="false">CORREL(Data!$W$14:$W$60,Data!$W$15:$W$61)</f>
        <v>0.96717692713438</v>
      </c>
      <c r="E5" s="11" t="n">
        <f aca="false">1.96/SQRT(COUNT(Data!$G$2:$G$61))</f>
        <v>0.253034911952218</v>
      </c>
      <c r="F5" s="0" t="str">
        <f aca="false">IF(ABS(B5)&gt;E5,"Outside band","Within band")</f>
        <v>Outside band</v>
      </c>
      <c r="H5" s="0" t="s">
        <v>100</v>
      </c>
      <c r="I5" s="11" t="n">
        <f aca="false">C5</f>
        <v>0.560784775781055</v>
      </c>
      <c r="J5" s="0" t="s">
        <v>101</v>
      </c>
    </row>
    <row r="6" customFormat="false" ht="15" hidden="false" customHeight="false" outlineLevel="0" collapsed="false">
      <c r="A6" s="0" t="n">
        <v>2</v>
      </c>
      <c r="B6" s="11" t="n">
        <f aca="false">CORREL(Data!$G$2:$G$59,Data!$G$4:$G$61)</f>
        <v>0.912730262954038</v>
      </c>
      <c r="C6" s="11" t="n">
        <f aca="false">CORREL(Data!$I$3:$I$59,Data!$I$5:$I$61)</f>
        <v>0.118922260486673</v>
      </c>
      <c r="D6" s="11" t="n">
        <f aca="false">CORREL(Data!$W$14:$W$59,Data!$W$16:$W$61)</f>
        <v>0.901542016665022</v>
      </c>
      <c r="E6" s="11" t="n">
        <f aca="false">1.96/SQRT(COUNT(Data!$G$2:$G$61))</f>
        <v>0.253034911952218</v>
      </c>
      <c r="F6" s="0" t="str">
        <f aca="false">IF(ABS(B6)&gt;E6,"Outside band","Within band")</f>
        <v>Outside band</v>
      </c>
      <c r="H6" s="0" t="s">
        <v>102</v>
      </c>
      <c r="I6" s="11" t="n">
        <f aca="false">B16</f>
        <v>-0.117559623418808</v>
      </c>
      <c r="J6" s="0" t="s">
        <v>103</v>
      </c>
    </row>
    <row r="7" customFormat="false" ht="15" hidden="false" customHeight="false" outlineLevel="0" collapsed="false">
      <c r="A7" s="0" t="n">
        <v>3</v>
      </c>
      <c r="B7" s="11" t="n">
        <f aca="false">CORREL(Data!$G$2:$G$58,Data!$G$5:$G$61)</f>
        <v>0.843067613186196</v>
      </c>
      <c r="C7" s="11" t="n">
        <f aca="false">CORREL(Data!$I$3:$I$58,Data!$I$6:$I$61)</f>
        <v>-0.0592007311414983</v>
      </c>
      <c r="D7" s="11" t="n">
        <f aca="false">CORREL(Data!$W$14:$W$58,Data!$W$17:$W$61)</f>
        <v>0.851593467515421</v>
      </c>
      <c r="E7" s="11" t="n">
        <f aca="false">1.96/SQRT(COUNT(Data!$G$2:$G$61))</f>
        <v>0.253034911952218</v>
      </c>
      <c r="F7" s="0" t="str">
        <f aca="false">IF(ABS(B7)&gt;E7,"Outside band","Within band")</f>
        <v>Outside band</v>
      </c>
      <c r="H7" s="0" t="s">
        <v>104</v>
      </c>
      <c r="I7" s="0" t="str">
        <f aca="false">IF(ABS(C5)&lt;ABS(B5),"First difference improves stationarity","Raw series remains highly persistent")</f>
        <v>First difference improves stationarity</v>
      </c>
      <c r="J7" s="0" t="s">
        <v>105</v>
      </c>
    </row>
    <row r="8" customFormat="false" ht="15" hidden="false" customHeight="false" outlineLevel="0" collapsed="false">
      <c r="A8" s="0" t="n">
        <v>4</v>
      </c>
      <c r="B8" s="11" t="n">
        <f aca="false">CORREL(Data!$G$2:$G$57,Data!$G$6:$G$61)</f>
        <v>0.774015081061934</v>
      </c>
      <c r="C8" s="11" t="n">
        <f aca="false">CORREL(Data!$I$3:$I$57,Data!$I$7:$I$61)</f>
        <v>-0.00600785565636178</v>
      </c>
      <c r="D8" s="11" t="n">
        <f aca="false">CORREL(Data!$W$14:$W$57,Data!$W$18:$W$61)</f>
        <v>0.812026668661604</v>
      </c>
      <c r="E8" s="11" t="n">
        <f aca="false">1.96/SQRT(COUNT(Data!$G$2:$G$61))</f>
        <v>0.253034911952218</v>
      </c>
      <c r="F8" s="0" t="str">
        <f aca="false">IF(ABS(B8)&gt;E8,"Outside band","Within band")</f>
        <v>Outside band</v>
      </c>
      <c r="H8" s="0" t="s">
        <v>106</v>
      </c>
      <c r="I8" s="0" t="n">
        <f aca="false">COUNT(Data!$G$2:$G$61)</f>
        <v>60</v>
      </c>
      <c r="J8" s="0" t="s">
        <v>107</v>
      </c>
    </row>
    <row r="9" customFormat="false" ht="15" hidden="false" customHeight="false" outlineLevel="0" collapsed="false">
      <c r="A9" s="0" t="n">
        <v>5</v>
      </c>
      <c r="B9" s="11" t="n">
        <f aca="false">CORREL(Data!$G$2:$G$56,Data!$G$7:$G$61)</f>
        <v>0.69985088719516</v>
      </c>
      <c r="C9" s="11" t="n">
        <f aca="false">CORREL(Data!$I$3:$I$56,Data!$I$8:$I$61)</f>
        <v>0.0483937673091904</v>
      </c>
      <c r="D9" s="11" t="n">
        <f aca="false">CORREL(Data!$W$14:$W$56,Data!$W$19:$W$61)</f>
        <v>0.770186244288494</v>
      </c>
      <c r="E9" s="11" t="n">
        <f aca="false">1.96/SQRT(COUNT(Data!$G$2:$G$61))</f>
        <v>0.253034911952218</v>
      </c>
      <c r="F9" s="0" t="str">
        <f aca="false">IF(ABS(B9)&gt;E9,"Outside band","Within band")</f>
        <v>Outside band</v>
      </c>
    </row>
    <row r="10" customFormat="false" ht="15" hidden="false" customHeight="false" outlineLevel="0" collapsed="false">
      <c r="A10" s="0" t="n">
        <v>6</v>
      </c>
      <c r="B10" s="11" t="n">
        <f aca="false">CORREL(Data!$G$2:$G$55,Data!$G$8:$G$61)</f>
        <v>0.618032225094281</v>
      </c>
      <c r="C10" s="11" t="n">
        <f aca="false">CORREL(Data!$I$3:$I$55,Data!$I$9:$I$61)</f>
        <v>0.0916530760122961</v>
      </c>
      <c r="D10" s="11" t="n">
        <f aca="false">CORREL(Data!$W$14:$W$55,Data!$W$20:$W$61)</f>
        <v>0.732532070420496</v>
      </c>
      <c r="E10" s="11" t="n">
        <f aca="false">1.96/SQRT(COUNT(Data!$G$2:$G$61))</f>
        <v>0.253034911952218</v>
      </c>
      <c r="F10" s="0" t="str">
        <f aca="false">IF(ABS(B10)&gt;E10,"Outside band","Within band")</f>
        <v>Outside band</v>
      </c>
    </row>
    <row r="11" customFormat="false" ht="15" hidden="false" customHeight="false" outlineLevel="0" collapsed="false">
      <c r="A11" s="0" t="n">
        <v>7</v>
      </c>
      <c r="B11" s="11" t="n">
        <f aca="false">CORREL(Data!$G$2:$G$54,Data!$G$9:$G$61)</f>
        <v>0.526051460976327</v>
      </c>
      <c r="C11" s="11" t="n">
        <f aca="false">CORREL(Data!$I$3:$I$54,Data!$I$10:$I$61)</f>
        <v>0.0917664920008089</v>
      </c>
      <c r="D11" s="11" t="n">
        <f aca="false">CORREL(Data!$W$14:$W$54,Data!$W$21:$W$61)</f>
        <v>0.699847663222252</v>
      </c>
      <c r="E11" s="11" t="n">
        <f aca="false">1.96/SQRT(COUNT(Data!$G$2:$G$61))</f>
        <v>0.253034911952218</v>
      </c>
      <c r="F11" s="0" t="str">
        <f aca="false">IF(ABS(B11)&gt;E11,"Outside band","Within band")</f>
        <v>Outside band</v>
      </c>
    </row>
    <row r="12" customFormat="false" ht="15" hidden="false" customHeight="false" outlineLevel="0" collapsed="false">
      <c r="A12" s="0" t="n">
        <v>8</v>
      </c>
      <c r="B12" s="11" t="n">
        <f aca="false">CORREL(Data!$G$2:$G$53,Data!$G$10:$G$61)</f>
        <v>0.423975626757662</v>
      </c>
      <c r="C12" s="11" t="n">
        <f aca="false">CORREL(Data!$I$3:$I$53,Data!$I$11:$I$61)</f>
        <v>0.0809946400751498</v>
      </c>
      <c r="D12" s="11" t="n">
        <f aca="false">CORREL(Data!$W$14:$W$53,Data!$W$22:$W$61)</f>
        <v>0.657348853004988</v>
      </c>
      <c r="E12" s="11" t="n">
        <f aca="false">1.96/SQRT(COUNT(Data!$G$2:$G$61))</f>
        <v>0.253034911952218</v>
      </c>
      <c r="F12" s="0" t="str">
        <f aca="false">IF(ABS(B12)&gt;E12,"Outside band","Within band")</f>
        <v>Outside band</v>
      </c>
    </row>
    <row r="13" customFormat="false" ht="15" hidden="false" customHeight="false" outlineLevel="0" collapsed="false">
      <c r="A13" s="0" t="n">
        <v>9</v>
      </c>
      <c r="B13" s="11" t="n">
        <f aca="false">CORREL(Data!$G$2:$G$52,Data!$G$11:$G$61)</f>
        <v>0.314113986965858</v>
      </c>
      <c r="C13" s="11" t="n">
        <f aca="false">CORREL(Data!$I$3:$I$52,Data!$I$12:$I$61)</f>
        <v>0.0875372757511801</v>
      </c>
      <c r="D13" s="11" t="n">
        <f aca="false">CORREL(Data!$W$14:$W$52,Data!$W$23:$W$61)</f>
        <v>0.592916907688846</v>
      </c>
      <c r="E13" s="11" t="n">
        <f aca="false">1.96/SQRT(COUNT(Data!$G$2:$G$61))</f>
        <v>0.253034911952218</v>
      </c>
      <c r="F13" s="0" t="str">
        <f aca="false">IF(ABS(B13)&gt;E13,"Outside band","Within band")</f>
        <v>Outside band</v>
      </c>
    </row>
    <row r="14" customFormat="false" ht="15" hidden="false" customHeight="false" outlineLevel="0" collapsed="false">
      <c r="A14" s="0" t="n">
        <v>10</v>
      </c>
      <c r="B14" s="11" t="n">
        <f aca="false">CORREL(Data!$G$2:$G$51,Data!$G$12:$G$61)</f>
        <v>0.185040194212952</v>
      </c>
      <c r="C14" s="11" t="n">
        <f aca="false">CORREL(Data!$I$3:$I$51,Data!$I$13:$I$61)</f>
        <v>0.055214983882377</v>
      </c>
      <c r="D14" s="11" t="n">
        <f aca="false">CORREL(Data!$W$14:$W$51,Data!$W$24:$W$61)</f>
        <v>0.528861786747478</v>
      </c>
      <c r="E14" s="11" t="n">
        <f aca="false">1.96/SQRT(COUNT(Data!$G$2:$G$61))</f>
        <v>0.253034911952218</v>
      </c>
      <c r="F14" s="0" t="str">
        <f aca="false">IF(ABS(B14)&gt;E14,"Outside band","Within band")</f>
        <v>Within band</v>
      </c>
    </row>
    <row r="15" customFormat="false" ht="15" hidden="false" customHeight="false" outlineLevel="0" collapsed="false">
      <c r="A15" s="0" t="n">
        <v>11</v>
      </c>
      <c r="B15" s="11" t="n">
        <f aca="false">CORREL(Data!$G$2:$G$50,Data!$G$13:$G$61)</f>
        <v>0.0436557130857913</v>
      </c>
      <c r="C15" s="11" t="n">
        <f aca="false">CORREL(Data!$I$3:$I$50,Data!$I$14:$I$61)</f>
        <v>-0.0574990519974492</v>
      </c>
      <c r="D15" s="11" t="n">
        <f aca="false">CORREL(Data!$W$14:$W$50,Data!$W$25:$W$61)</f>
        <v>0.471404148128122</v>
      </c>
      <c r="E15" s="11" t="n">
        <f aca="false">1.96/SQRT(COUNT(Data!$G$2:$G$61))</f>
        <v>0.253034911952218</v>
      </c>
      <c r="F15" s="0" t="str">
        <f aca="false">IF(ABS(B15)&gt;E15,"Outside band","Within band")</f>
        <v>Within band</v>
      </c>
    </row>
    <row r="16" customFormat="false" ht="15" hidden="false" customHeight="false" outlineLevel="0" collapsed="false">
      <c r="A16" s="0" t="n">
        <v>12</v>
      </c>
      <c r="B16" s="11" t="n">
        <f aca="false">CORREL(Data!$G$2:$G$49,Data!$G$14:$G$61)</f>
        <v>-0.117559623418808</v>
      </c>
      <c r="C16" s="11" t="n">
        <f aca="false">CORREL(Data!$I$3:$I$49,Data!$I$15:$I$61)</f>
        <v>0.0211422712907415</v>
      </c>
      <c r="D16" s="11" t="n">
        <f aca="false">CORREL(Data!$W$14:$W$49,Data!$W$26:$W$61)</f>
        <v>0.491538199840922</v>
      </c>
      <c r="E16" s="11" t="n">
        <f aca="false">1.96/SQRT(COUNT(Data!$G$2:$G$61))</f>
        <v>0.253034911952218</v>
      </c>
      <c r="F16" s="0" t="str">
        <f aca="false">IF(ABS(B16)&gt;E16,"Outside band","Within band")</f>
        <v>Within band</v>
      </c>
    </row>
    <row r="17" customFormat="false" ht="15" hidden="false" customHeight="false" outlineLevel="0" collapsed="false">
      <c r="A17" s="0" t="n">
        <v>13</v>
      </c>
      <c r="B17" s="11" t="n">
        <f aca="false">CORREL(Data!$G$2:$G$48,Data!$G$15:$G$61)</f>
        <v>-0.295964240228646</v>
      </c>
      <c r="C17" s="11" t="n">
        <f aca="false">CORREL(Data!$I$3:$I$48,Data!$I$16:$I$61)</f>
        <v>0.0640317754975208</v>
      </c>
      <c r="D17" s="11" t="n">
        <f aca="false">CORREL(Data!$W$14:$W$48,Data!$W$27:$W$61)</f>
        <v>0.643865783817704</v>
      </c>
      <c r="E17" s="11" t="n">
        <f aca="false">1.96/SQRT(COUNT(Data!$G$2:$G$61))</f>
        <v>0.253034911952218</v>
      </c>
      <c r="F17" s="0" t="str">
        <f aca="false">IF(ABS(B17)&gt;E17,"Outside band","Within band")</f>
        <v>Outside band</v>
      </c>
    </row>
    <row r="18" customFormat="false" ht="15" hidden="false" customHeight="false" outlineLevel="0" collapsed="false">
      <c r="A18" s="0" t="n">
        <v>14</v>
      </c>
      <c r="B18" s="11" t="n">
        <f aca="false">CORREL(Data!$G$2:$G$47,Data!$G$16:$G$61)</f>
        <v>-0.407871074147336</v>
      </c>
      <c r="C18" s="11" t="n">
        <f aca="false">CORREL(Data!$I$3:$I$47,Data!$I$17:$I$61)</f>
        <v>0.0855720910826637</v>
      </c>
      <c r="D18" s="11" t="n">
        <f aca="false">CORREL(Data!$W$14:$W$47,Data!$W$28:$W$61)</f>
        <v>0.816633214219938</v>
      </c>
      <c r="E18" s="11" t="n">
        <f aca="false">1.96/SQRT(COUNT(Data!$G$2:$G$61))</f>
        <v>0.253034911952218</v>
      </c>
      <c r="F18" s="0" t="str">
        <f aca="false">IF(ABS(B18)&gt;E18,"Outside band","Within band")</f>
        <v>Outside band</v>
      </c>
    </row>
    <row r="19" customFormat="false" ht="15" hidden="false" customHeight="false" outlineLevel="0" collapsed="false">
      <c r="A19" s="0" t="n">
        <v>15</v>
      </c>
      <c r="B19" s="11" t="n">
        <f aca="false">CORREL(Data!$G$2:$G$46,Data!$G$17:$G$61)</f>
        <v>-0.457318343330475</v>
      </c>
      <c r="C19" s="11" t="n">
        <f aca="false">CORREL(Data!$I$3:$I$46,Data!$I$18:$I$61)</f>
        <v>0.132292283185422</v>
      </c>
      <c r="D19" s="11" t="n">
        <f aca="false">CORREL(Data!$W$14:$W$46,Data!$W$29:$W$61)</f>
        <v>0.863292319405462</v>
      </c>
      <c r="E19" s="11" t="n">
        <f aca="false">1.96/SQRT(COUNT(Data!$G$2:$G$61))</f>
        <v>0.253034911952218</v>
      </c>
      <c r="F19" s="0" t="str">
        <f aca="false">IF(ABS(B19)&gt;E19,"Outside band","Within band")</f>
        <v>Outside band</v>
      </c>
    </row>
    <row r="20" customFormat="false" ht="15" hidden="false" customHeight="false" outlineLevel="0" collapsed="false">
      <c r="A20" s="0" t="n">
        <v>16</v>
      </c>
      <c r="B20" s="11" t="n">
        <f aca="false">CORREL(Data!$G$2:$G$45,Data!$G$18:$G$61)</f>
        <v>-0.492043888536932</v>
      </c>
      <c r="C20" s="11" t="n">
        <f aca="false">CORREL(Data!$I$3:$I$45,Data!$I$19:$I$61)</f>
        <v>0.120387083947826</v>
      </c>
      <c r="D20" s="11" t="n">
        <f aca="false">CORREL(Data!$W$14:$W$45,Data!$W$30:$W$61)</f>
        <v>0.862687992543902</v>
      </c>
      <c r="E20" s="11" t="n">
        <f aca="false">1.96/SQRT(COUNT(Data!$G$2:$G$61))</f>
        <v>0.253034911952218</v>
      </c>
      <c r="F20" s="0" t="str">
        <f aca="false">IF(ABS(B20)&gt;E20,"Outside band","Within band")</f>
        <v>Outside band</v>
      </c>
    </row>
    <row r="21" customFormat="false" ht="15" hidden="false" customHeight="false" outlineLevel="0" collapsed="false">
      <c r="A21" s="0" t="n">
        <v>17</v>
      </c>
      <c r="B21" s="11" t="n">
        <f aca="false">CORREL(Data!$G$2:$G$44,Data!$G$19:$G$61)</f>
        <v>-0.527914514819583</v>
      </c>
      <c r="C21" s="11" t="n">
        <f aca="false">CORREL(Data!$I$3:$I$44,Data!$I$20:$I$61)</f>
        <v>0.17978753516036</v>
      </c>
      <c r="D21" s="11" t="n">
        <f aca="false">CORREL(Data!$W$14:$W$44,Data!$W$31:$W$61)</f>
        <v>0.847605956223223</v>
      </c>
      <c r="E21" s="11" t="n">
        <f aca="false">1.96/SQRT(COUNT(Data!$G$2:$G$61))</f>
        <v>0.253034911952218</v>
      </c>
      <c r="F21" s="0" t="str">
        <f aca="false">IF(ABS(B21)&gt;E21,"Outside band","Within band")</f>
        <v>Outside band</v>
      </c>
    </row>
    <row r="22" customFormat="false" ht="15" hidden="false" customHeight="false" outlineLevel="0" collapsed="false">
      <c r="A22" s="0" t="n">
        <v>18</v>
      </c>
      <c r="B22" s="11" t="n">
        <f aca="false">CORREL(Data!$G$2:$G$43,Data!$G$20:$G$61)</f>
        <v>-0.567688264930403</v>
      </c>
      <c r="C22" s="11" t="n">
        <f aca="false">CORREL(Data!$I$3:$I$43,Data!$I$21:$I$61)</f>
        <v>0.161229215002238</v>
      </c>
      <c r="D22" s="11" t="n">
        <f aca="false">CORREL(Data!$W$14:$W$43,Data!$W$32:$W$61)</f>
        <v>0.817017310057357</v>
      </c>
      <c r="E22" s="11" t="n">
        <f aca="false">1.96/SQRT(COUNT(Data!$G$2:$G$61))</f>
        <v>0.253034911952218</v>
      </c>
      <c r="F22" s="0" t="str">
        <f aca="false">IF(ABS(B22)&gt;E22,"Outside band","Within band")</f>
        <v>Outside band</v>
      </c>
    </row>
    <row r="23" customFormat="false" ht="15" hidden="false" customHeight="false" outlineLevel="0" collapsed="false">
      <c r="A23" s="0" t="n">
        <v>19</v>
      </c>
      <c r="B23" s="11" t="n">
        <f aca="false">CORREL(Data!$G$2:$G$42,Data!$G$21:$G$61)</f>
        <v>-0.604495899642338</v>
      </c>
      <c r="C23" s="11" t="n">
        <f aca="false">CORREL(Data!$I$3:$I$42,Data!$I$22:$I$61)</f>
        <v>0.120043495544673</v>
      </c>
      <c r="D23" s="11" t="n">
        <f aca="false">CORREL(Data!$W$14:$W$42,Data!$W$33:$W$61)</f>
        <v>0.781852059630063</v>
      </c>
      <c r="E23" s="11" t="n">
        <f aca="false">1.96/SQRT(COUNT(Data!$G$2:$G$61))</f>
        <v>0.253034911952218</v>
      </c>
      <c r="F23" s="0" t="str">
        <f aca="false">IF(ABS(B23)&gt;E23,"Outside band","Within band")</f>
        <v>Outside band</v>
      </c>
    </row>
    <row r="24" customFormat="false" ht="15" hidden="false" customHeight="false" outlineLevel="0" collapsed="false">
      <c r="A24" s="0" t="n">
        <v>20</v>
      </c>
      <c r="B24" s="11" t="n">
        <f aca="false">CORREL(Data!$G$2:$G$41,Data!$G$22:$G$61)</f>
        <v>-0.640643686269964</v>
      </c>
      <c r="C24" s="11" t="n">
        <f aca="false">CORREL(Data!$I$3:$I$41,Data!$I$23:$I$61)</f>
        <v>0.0791978169469749</v>
      </c>
      <c r="D24" s="11" t="n">
        <f aca="false">CORREL(Data!$W$14:$W$41,Data!$W$34:$W$61)</f>
        <v>0.771463226669221</v>
      </c>
      <c r="E24" s="11" t="n">
        <f aca="false">1.96/SQRT(COUNT(Data!$G$2:$G$61))</f>
        <v>0.253034911952218</v>
      </c>
      <c r="F24" s="0" t="str">
        <f aca="false">IF(ABS(B24)&gt;E24,"Outside band","Within band")</f>
        <v>Outside band</v>
      </c>
    </row>
    <row r="25" customFormat="false" ht="15" hidden="false" customHeight="false" outlineLevel="0" collapsed="false">
      <c r="A25" s="0" t="n">
        <v>21</v>
      </c>
      <c r="B25" s="11" t="n">
        <f aca="false">CORREL(Data!$G$2:$G$40,Data!$G$23:$G$61)</f>
        <v>-0.670696837696639</v>
      </c>
      <c r="C25" s="11" t="n">
        <f aca="false">CORREL(Data!$I$3:$I$40,Data!$I$24:$I$61)</f>
        <v>0.0255559697134755</v>
      </c>
      <c r="D25" s="11" t="n">
        <f aca="false">CORREL(Data!$W$14:$W$40,Data!$W$35:$W$61)</f>
        <v>0.758549904916531</v>
      </c>
      <c r="E25" s="11" t="n">
        <f aca="false">1.96/SQRT(COUNT(Data!$G$2:$G$61))</f>
        <v>0.253034911952218</v>
      </c>
      <c r="F25" s="0" t="str">
        <f aca="false">IF(ABS(B25)&gt;E25,"Outside band","Within band")</f>
        <v>Outside band</v>
      </c>
    </row>
    <row r="26" customFormat="false" ht="15" hidden="false" customHeight="false" outlineLevel="0" collapsed="false">
      <c r="A26" s="0" t="n">
        <v>22</v>
      </c>
      <c r="B26" s="11" t="n">
        <f aca="false">CORREL(Data!$G$2:$G$39,Data!$G$24:$G$61)</f>
        <v>-0.692397252777014</v>
      </c>
      <c r="C26" s="11" t="n">
        <f aca="false">CORREL(Data!$I$3:$I$39,Data!$I$25:$I$61)</f>
        <v>0.208060612836519</v>
      </c>
      <c r="D26" s="11" t="n">
        <f aca="false">CORREL(Data!$W$14:$W$39,Data!$W$36:$W$61)</f>
        <v>0.706842641427257</v>
      </c>
      <c r="E26" s="11" t="n">
        <f aca="false">1.96/SQRT(COUNT(Data!$G$2:$G$61))</f>
        <v>0.253034911952218</v>
      </c>
      <c r="F26" s="0" t="str">
        <f aca="false">IF(ABS(B26)&gt;E26,"Outside band","Within band")</f>
        <v>Outside band</v>
      </c>
    </row>
    <row r="27" customFormat="false" ht="15" hidden="false" customHeight="false" outlineLevel="0" collapsed="false">
      <c r="A27" s="0" t="n">
        <v>23</v>
      </c>
      <c r="B27" s="11" t="n">
        <f aca="false">CORREL(Data!$G$2:$G$38,Data!$G$25:$G$61)</f>
        <v>-0.716850736157017</v>
      </c>
      <c r="C27" s="11" t="n">
        <f aca="false">CORREL(Data!$I$3:$I$38,Data!$I$26:$I$61)</f>
        <v>0.280670020275706</v>
      </c>
      <c r="D27" s="11" t="n">
        <f aca="false">CORREL(Data!$W$14:$W$38,Data!$W$37:$W$61)</f>
        <v>0.601272355847734</v>
      </c>
      <c r="E27" s="11" t="n">
        <f aca="false">1.96/SQRT(COUNT(Data!$G$2:$G$61))</f>
        <v>0.253034911952218</v>
      </c>
      <c r="F27" s="0" t="str">
        <f aca="false">IF(ABS(B27)&gt;E27,"Outside band","Within band")</f>
        <v>Outside band</v>
      </c>
    </row>
    <row r="28" customFormat="false" ht="15" hidden="false" customHeight="false" outlineLevel="0" collapsed="false">
      <c r="A28" s="0" t="n">
        <v>24</v>
      </c>
      <c r="B28" s="11" t="n">
        <f aca="false">CORREL(Data!$G$2:$G$37,Data!$G$26:$G$61)</f>
        <v>-0.748628596417432</v>
      </c>
      <c r="C28" s="11" t="n">
        <f aca="false">CORREL(Data!$I$3:$I$37,Data!$I$27:$I$61)</f>
        <v>0.159277114931115</v>
      </c>
      <c r="D28" s="11" t="n">
        <f aca="false">CORREL(Data!$W$14:$W$37,Data!$W$38:$W$61)</f>
        <v>0.44937059692007</v>
      </c>
      <c r="E28" s="11" t="n">
        <f aca="false">1.96/SQRT(COUNT(Data!$G$2:$G$61))</f>
        <v>0.253034911952218</v>
      </c>
      <c r="F28" s="0" t="str">
        <f aca="false">IF(ABS(B28)&gt;E28,"Outside band","Within band")</f>
        <v>Outside band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5.12"/>
    <col collapsed="false" customWidth="true" hidden="false" outlineLevel="0" max="2" min="2" style="0" width="17.64"/>
    <col collapsed="false" customWidth="true" hidden="false" outlineLevel="0" max="3" min="3" style="0" width="15.12"/>
    <col collapsed="false" customWidth="true" hidden="false" outlineLevel="0" max="4" min="4" style="0" width="17.64"/>
    <col collapsed="false" customWidth="true" hidden="false" outlineLevel="0" max="7" min="5" style="0" width="15.12"/>
  </cols>
  <sheetData>
    <row r="1" customFormat="false" ht="30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5" hidden="false" customHeight="false" outlineLevel="0" collapsed="false">
      <c r="A3" s="3" t="s">
        <v>109</v>
      </c>
      <c r="B3" s="3" t="s">
        <v>96</v>
      </c>
    </row>
    <row r="4" customFormat="false" ht="15" hidden="false" customHeight="false" outlineLevel="0" collapsed="false">
      <c r="A4" s="0" t="s">
        <v>110</v>
      </c>
      <c r="B4" s="11" t="n">
        <f aca="false">SLOPE(Data!$G$2:$G$61,Data!$A$2:$A$61)</f>
        <v>-0.140954237288136</v>
      </c>
    </row>
    <row r="5" customFormat="false" ht="15" hidden="false" customHeight="false" outlineLevel="0" collapsed="false">
      <c r="A5" s="0" t="s">
        <v>111</v>
      </c>
      <c r="B5" s="11" t="n">
        <f aca="false">INTERCEPT(Data!$G$2:$G$61,Data!$A$2:$A$61)</f>
        <v>17.2796209039548</v>
      </c>
    </row>
    <row r="6" customFormat="false" ht="15" hidden="false" customHeight="false" outlineLevel="0" collapsed="false">
      <c r="A6" s="0" t="s">
        <v>112</v>
      </c>
      <c r="B6" s="11" t="n">
        <f aca="false">RSQ(Data!$G$2:$G$61,Data!$A$2:$A$61)</f>
        <v>0.0460060669571237</v>
      </c>
    </row>
    <row r="7" customFormat="false" ht="15" hidden="false" customHeight="false" outlineLevel="0" collapsed="false">
      <c r="A7" s="0" t="s">
        <v>113</v>
      </c>
      <c r="B7" s="12" t="n">
        <f aca="false">SQRT(SUMSQ(Data!$S$2:$S$61)/COUNT(Data!$S$2:$S$61))</f>
        <v>11.1158758863901</v>
      </c>
    </row>
    <row r="8" customFormat="false" ht="15" hidden="false" customHeight="false" outlineLevel="0" collapsed="false">
      <c r="A8" s="0" t="s">
        <v>114</v>
      </c>
      <c r="B8" s="12" t="n">
        <f aca="false">AVERAGE(Data!$Y$2:$Y$61)</f>
        <v>3.62073593281242</v>
      </c>
    </row>
    <row r="9" customFormat="false" ht="15" hidden="false" customHeight="false" outlineLevel="0" collapsed="false">
      <c r="A9" s="0" t="s">
        <v>115</v>
      </c>
      <c r="B9" s="14" t="n">
        <f aca="false">COUNTIF(Data!$V$2:$V$64,"Anomaly")</f>
        <v>0</v>
      </c>
    </row>
    <row r="11" customFormat="false" ht="15" hidden="false" customHeight="false" outlineLevel="0" collapsed="false">
      <c r="A11" s="3" t="s">
        <v>34</v>
      </c>
      <c r="B11" s="3" t="s">
        <v>116</v>
      </c>
      <c r="C11" s="3" t="s">
        <v>117</v>
      </c>
      <c r="D11" s="3" t="s">
        <v>50</v>
      </c>
      <c r="E11" s="3" t="s">
        <v>51</v>
      </c>
      <c r="F11" s="3" t="s">
        <v>118</v>
      </c>
      <c r="G11" s="3" t="s">
        <v>119</v>
      </c>
    </row>
    <row r="12" customFormat="false" ht="15" hidden="false" customHeight="false" outlineLevel="0" collapsed="false">
      <c r="A12" s="15" t="n">
        <f aca="false">Data!B2</f>
        <v>43466</v>
      </c>
      <c r="B12" s="11" t="n">
        <f aca="false">Data!G2</f>
        <v>30.872</v>
      </c>
      <c r="C12" s="11" t="str">
        <f aca="false">Data!N2</f>
        <v/>
      </c>
      <c r="D12" s="11" t="n">
        <f aca="false">Data!R2</f>
        <v>17.1386666666667</v>
      </c>
      <c r="E12" s="11" t="n">
        <f aca="false">Data!S2</f>
        <v>13.7333333333333</v>
      </c>
      <c r="F12" s="11" t="n">
        <f aca="false">Data!U2</f>
        <v>1.2251313491241</v>
      </c>
      <c r="G12" s="0" t="str">
        <f aca="false">Data!V2</f>
        <v/>
      </c>
    </row>
    <row r="13" customFormat="false" ht="15" hidden="false" customHeight="false" outlineLevel="0" collapsed="false">
      <c r="A13" s="15" t="n">
        <f aca="false">Data!B3</f>
        <v>43497</v>
      </c>
      <c r="B13" s="11" t="n">
        <f aca="false">Data!G3</f>
        <v>30.366</v>
      </c>
      <c r="C13" s="11" t="str">
        <f aca="false">Data!N3</f>
        <v/>
      </c>
      <c r="D13" s="11" t="n">
        <f aca="false">Data!R3</f>
        <v>16.9977124293785</v>
      </c>
      <c r="E13" s="11" t="n">
        <f aca="false">Data!S3</f>
        <v>13.3682875706215</v>
      </c>
      <c r="F13" s="11" t="n">
        <f aca="false">Data!U3</f>
        <v>1.19256613011222</v>
      </c>
      <c r="G13" s="0" t="str">
        <f aca="false">Data!V3</f>
        <v/>
      </c>
    </row>
    <row r="14" customFormat="false" ht="15" hidden="false" customHeight="false" outlineLevel="0" collapsed="false">
      <c r="A14" s="15" t="n">
        <f aca="false">Data!B4</f>
        <v>43525</v>
      </c>
      <c r="B14" s="11" t="n">
        <f aca="false">Data!G4</f>
        <v>31.985</v>
      </c>
      <c r="C14" s="11" t="str">
        <f aca="false">Data!N4</f>
        <v/>
      </c>
      <c r="D14" s="11" t="n">
        <f aca="false">Data!R4</f>
        <v>16.8567581920904</v>
      </c>
      <c r="E14" s="11" t="n">
        <f aca="false">Data!S4</f>
        <v>15.1282418079096</v>
      </c>
      <c r="F14" s="11" t="n">
        <f aca="false">Data!U4</f>
        <v>1.34956917203883</v>
      </c>
      <c r="G14" s="0" t="str">
        <f aca="false">Data!V4</f>
        <v/>
      </c>
    </row>
    <row r="15" customFormat="false" ht="15" hidden="false" customHeight="false" outlineLevel="0" collapsed="false">
      <c r="A15" s="15" t="n">
        <f aca="false">Data!B5</f>
        <v>43556</v>
      </c>
      <c r="B15" s="11" t="n">
        <f aca="false">Data!G5</f>
        <v>31.581</v>
      </c>
      <c r="C15" s="11" t="str">
        <f aca="false">Data!N5</f>
        <v/>
      </c>
      <c r="D15" s="11" t="n">
        <f aca="false">Data!R5</f>
        <v>16.7158039548023</v>
      </c>
      <c r="E15" s="11" t="n">
        <f aca="false">Data!S5</f>
        <v>14.8651960451977</v>
      </c>
      <c r="F15" s="11" t="n">
        <f aca="false">Data!U5</f>
        <v>1.32610322955199</v>
      </c>
      <c r="G15" s="0" t="str">
        <f aca="false">Data!V5</f>
        <v/>
      </c>
    </row>
    <row r="16" customFormat="false" ht="15" hidden="false" customHeight="false" outlineLevel="0" collapsed="false">
      <c r="A16" s="15" t="n">
        <f aca="false">Data!B6</f>
        <v>43586</v>
      </c>
      <c r="B16" s="11" t="n">
        <f aca="false">Data!G6</f>
        <v>29.354</v>
      </c>
      <c r="C16" s="11" t="str">
        <f aca="false">Data!N6</f>
        <v/>
      </c>
      <c r="D16" s="11" t="n">
        <f aca="false">Data!R6</f>
        <v>16.5748497175141</v>
      </c>
      <c r="E16" s="11" t="n">
        <f aca="false">Data!S6</f>
        <v>12.7791502824859</v>
      </c>
      <c r="F16" s="11" t="n">
        <f aca="false">Data!U6</f>
        <v>1.14001002132827</v>
      </c>
      <c r="G16" s="0" t="str">
        <f aca="false">Data!V6</f>
        <v/>
      </c>
    </row>
    <row r="17" customFormat="false" ht="15" hidden="false" customHeight="false" outlineLevel="0" collapsed="false">
      <c r="A17" s="15" t="n">
        <f aca="false">Data!B7</f>
        <v>43617</v>
      </c>
      <c r="B17" s="11" t="n">
        <f aca="false">Data!G7</f>
        <v>29.556</v>
      </c>
      <c r="C17" s="11" t="str">
        <f aca="false">Data!N7</f>
        <v/>
      </c>
      <c r="D17" s="11" t="n">
        <f aca="false">Data!R7</f>
        <v>16.433895480226</v>
      </c>
      <c r="E17" s="11" t="n">
        <f aca="false">Data!S7</f>
        <v>13.122104519774</v>
      </c>
      <c r="F17" s="11" t="n">
        <f aca="false">Data!U7</f>
        <v>1.17060448643142</v>
      </c>
      <c r="G17" s="0" t="str">
        <f aca="false">Data!V7</f>
        <v/>
      </c>
    </row>
    <row r="18" customFormat="false" ht="15" hidden="false" customHeight="false" outlineLevel="0" collapsed="false">
      <c r="A18" s="15" t="n">
        <f aca="false">Data!B8</f>
        <v>43647</v>
      </c>
      <c r="B18" s="11" t="n">
        <f aca="false">Data!G8</f>
        <v>30.872</v>
      </c>
      <c r="C18" s="11" t="n">
        <f aca="false">Data!N8</f>
        <v>30.0259166666667</v>
      </c>
      <c r="D18" s="11" t="n">
        <f aca="false">Data!R8</f>
        <v>16.2929412429379</v>
      </c>
      <c r="E18" s="11" t="n">
        <f aca="false">Data!S8</f>
        <v>14.5790587570621</v>
      </c>
      <c r="F18" s="11" t="n">
        <f aca="false">Data!U8</f>
        <v>1.30057732456304</v>
      </c>
      <c r="G18" s="0" t="str">
        <f aca="false">Data!V8</f>
        <v/>
      </c>
    </row>
    <row r="19" customFormat="false" ht="15" hidden="false" customHeight="false" outlineLevel="0" collapsed="false">
      <c r="A19" s="15" t="n">
        <f aca="false">Data!B9</f>
        <v>43678</v>
      </c>
      <c r="B19" s="11" t="n">
        <f aca="false">Data!G9</f>
        <v>30.366</v>
      </c>
      <c r="C19" s="11" t="n">
        <f aca="false">Data!N9</f>
        <v>28.8418333333333</v>
      </c>
      <c r="D19" s="11" t="n">
        <f aca="false">Data!R9</f>
        <v>16.1519870056497</v>
      </c>
      <c r="E19" s="11" t="n">
        <f aca="false">Data!S9</f>
        <v>14.2140129943503</v>
      </c>
      <c r="F19" s="11" t="n">
        <f aca="false">Data!U9</f>
        <v>1.26801210555116</v>
      </c>
      <c r="G19" s="0" t="str">
        <f aca="false">Data!V9</f>
        <v/>
      </c>
    </row>
    <row r="20" customFormat="false" ht="15" hidden="false" customHeight="false" outlineLevel="0" collapsed="false">
      <c r="A20" s="15" t="n">
        <f aca="false">Data!B10</f>
        <v>43709</v>
      </c>
      <c r="B20" s="11" t="n">
        <f aca="false">Data!G10</f>
        <v>27.127</v>
      </c>
      <c r="C20" s="11" t="n">
        <f aca="false">Data!N10</f>
        <v>26.49325</v>
      </c>
      <c r="D20" s="11" t="n">
        <f aca="false">Data!R10</f>
        <v>16.0110327683616</v>
      </c>
      <c r="E20" s="11" t="n">
        <f aca="false">Data!S10</f>
        <v>11.1159672316384</v>
      </c>
      <c r="F20" s="11" t="n">
        <f aca="false">Data!U10</f>
        <v>0.991639800824015</v>
      </c>
      <c r="G20" s="0" t="str">
        <f aca="false">Data!V10</f>
        <v/>
      </c>
    </row>
    <row r="21" customFormat="false" ht="15" hidden="false" customHeight="false" outlineLevel="0" collapsed="false">
      <c r="A21" s="15" t="n">
        <f aca="false">Data!B11</f>
        <v>43739</v>
      </c>
      <c r="B21" s="11" t="n">
        <f aca="false">Data!G11</f>
        <v>29.354</v>
      </c>
      <c r="C21" s="11" t="n">
        <f aca="false">Data!N11</f>
        <v>23.9406666666667</v>
      </c>
      <c r="D21" s="11" t="n">
        <f aca="false">Data!R11</f>
        <v>15.8700785310734</v>
      </c>
      <c r="E21" s="11" t="n">
        <f aca="false">Data!S11</f>
        <v>13.4839214689266</v>
      </c>
      <c r="F21" s="11" t="n">
        <f aca="false">Data!U11</f>
        <v>1.20288166752739</v>
      </c>
      <c r="G21" s="0" t="str">
        <f aca="false">Data!V11</f>
        <v/>
      </c>
    </row>
    <row r="22" customFormat="false" ht="15" hidden="false" customHeight="false" outlineLevel="0" collapsed="false">
      <c r="A22" s="15" t="n">
        <f aca="false">Data!B12</f>
        <v>43770</v>
      </c>
      <c r="B22" s="11" t="n">
        <f aca="false">Data!G12</f>
        <v>29.556</v>
      </c>
      <c r="C22" s="11" t="n">
        <f aca="false">Data!N12</f>
        <v>21.5736666666667</v>
      </c>
      <c r="D22" s="11" t="n">
        <f aca="false">Data!R12</f>
        <v>15.7291242937853</v>
      </c>
      <c r="E22" s="11" t="n">
        <f aca="false">Data!S12</f>
        <v>13.8268757062147</v>
      </c>
      <c r="F22" s="11" t="n">
        <f aca="false">Data!U12</f>
        <v>1.23347613263054</v>
      </c>
      <c r="G22" s="0" t="str">
        <f aca="false">Data!V12</f>
        <v/>
      </c>
    </row>
    <row r="23" customFormat="false" ht="15" hidden="false" customHeight="false" outlineLevel="0" collapsed="false">
      <c r="A23" s="15" t="n">
        <f aca="false">Data!B13</f>
        <v>43800</v>
      </c>
      <c r="B23" s="11" t="n">
        <f aca="false">Data!G13</f>
        <v>31.682</v>
      </c>
      <c r="C23" s="11" t="n">
        <f aca="false">Data!N13</f>
        <v>19.1898333333333</v>
      </c>
      <c r="D23" s="11" t="n">
        <f aca="false">Data!R13</f>
        <v>15.5881700564972</v>
      </c>
      <c r="E23" s="11" t="n">
        <f aca="false">Data!S13</f>
        <v>16.0938299435028</v>
      </c>
      <c r="F23" s="11" t="n">
        <f aca="false">Data!U13</f>
        <v>1.43570793140224</v>
      </c>
      <c r="G23" s="0" t="str">
        <f aca="false">Data!V13</f>
        <v/>
      </c>
    </row>
    <row r="24" customFormat="false" ht="15" hidden="false" customHeight="false" outlineLevel="0" collapsed="false">
      <c r="A24" s="15" t="n">
        <f aca="false">Data!B14</f>
        <v>43831</v>
      </c>
      <c r="B24" s="11" t="n">
        <f aca="false">Data!G14</f>
        <v>28.512</v>
      </c>
      <c r="C24" s="11" t="n">
        <f aca="false">Data!N14</f>
        <v>16.736</v>
      </c>
      <c r="D24" s="11" t="n">
        <f aca="false">Data!R14</f>
        <v>15.447215819209</v>
      </c>
      <c r="E24" s="11" t="n">
        <f aca="false">Data!S14</f>
        <v>13.064784180791</v>
      </c>
      <c r="F24" s="11" t="n">
        <f aca="false">Data!U14</f>
        <v>1.16549101961852</v>
      </c>
      <c r="G24" s="0" t="str">
        <f aca="false">Data!V14</f>
        <v/>
      </c>
    </row>
    <row r="25" customFormat="false" ht="15" hidden="false" customHeight="false" outlineLevel="0" collapsed="false">
      <c r="A25" s="15" t="n">
        <f aca="false">Data!B15</f>
        <v>43862</v>
      </c>
      <c r="B25" s="11" t="n">
        <f aca="false">Data!G15</f>
        <v>16.157</v>
      </c>
      <c r="C25" s="11" t="n">
        <f aca="false">Data!N15</f>
        <v>14.4035</v>
      </c>
      <c r="D25" s="11" t="n">
        <f aca="false">Data!R15</f>
        <v>15.3062615819209</v>
      </c>
      <c r="E25" s="11" t="n">
        <f aca="false">Data!S15</f>
        <v>0.850738418079098</v>
      </c>
      <c r="F25" s="11" t="n">
        <f aca="false">Data!U15</f>
        <v>0.0758931776135641</v>
      </c>
      <c r="G25" s="0" t="str">
        <f aca="false">Data!V15</f>
        <v/>
      </c>
    </row>
    <row r="26" customFormat="false" ht="15" hidden="false" customHeight="false" outlineLevel="0" collapsed="false">
      <c r="A26" s="15" t="n">
        <f aca="false">Data!B16</f>
        <v>43891</v>
      </c>
      <c r="B26" s="11" t="n">
        <f aca="false">Data!G16</f>
        <v>3.802</v>
      </c>
      <c r="C26" s="11" t="n">
        <f aca="false">Data!N16</f>
        <v>12.3013333333333</v>
      </c>
      <c r="D26" s="11" t="n">
        <f aca="false">Data!R16</f>
        <v>15.1653073446328</v>
      </c>
      <c r="E26" s="11" t="n">
        <f aca="false">Data!S16</f>
        <v>-11.3633073446328</v>
      </c>
      <c r="F26" s="11" t="n">
        <f aca="false">Data!U16</f>
        <v>-1.01370466439139</v>
      </c>
      <c r="G26" s="0" t="str">
        <f aca="false">Data!V16</f>
        <v/>
      </c>
    </row>
    <row r="27" customFormat="false" ht="15" hidden="false" customHeight="false" outlineLevel="0" collapsed="false">
      <c r="A27" s="15" t="n">
        <f aca="false">Data!B17</f>
        <v>43922</v>
      </c>
      <c r="B27" s="11" t="n">
        <f aca="false">Data!G17</f>
        <v>0.95</v>
      </c>
      <c r="C27" s="11" t="n">
        <f aca="false">Data!N17</f>
        <v>9.9185</v>
      </c>
      <c r="D27" s="11" t="n">
        <f aca="false">Data!R17</f>
        <v>15.0243531073446</v>
      </c>
      <c r="E27" s="11" t="n">
        <f aca="false">Data!S17</f>
        <v>-14.0743531073446</v>
      </c>
      <c r="F27" s="11" t="n">
        <f aca="false">Data!U17</f>
        <v>-1.25555324347938</v>
      </c>
      <c r="G27" s="0" t="str">
        <f aca="false">Data!V17</f>
        <v/>
      </c>
    </row>
    <row r="28" customFormat="false" ht="15" hidden="false" customHeight="false" outlineLevel="0" collapsed="false">
      <c r="A28" s="15" t="n">
        <f aca="false">Data!B18</f>
        <v>43952</v>
      </c>
      <c r="B28" s="11" t="n">
        <f aca="false">Data!G18</f>
        <v>0.95</v>
      </c>
      <c r="C28" s="11" t="n">
        <f aca="false">Data!N18</f>
        <v>7.503</v>
      </c>
      <c r="D28" s="11" t="n">
        <f aca="false">Data!R18</f>
        <v>14.8833988700565</v>
      </c>
      <c r="E28" s="11" t="n">
        <f aca="false">Data!S18</f>
        <v>-13.9333988700565</v>
      </c>
      <c r="F28" s="11" t="n">
        <f aca="false">Data!U18</f>
        <v>-1.24297891423955</v>
      </c>
      <c r="G28" s="0" t="str">
        <f aca="false">Data!V18</f>
        <v/>
      </c>
    </row>
    <row r="29" customFormat="false" ht="15" hidden="false" customHeight="false" outlineLevel="0" collapsed="false">
      <c r="A29" s="15" t="n">
        <f aca="false">Data!B19</f>
        <v>43983</v>
      </c>
      <c r="B29" s="11" t="n">
        <f aca="false">Data!G19</f>
        <v>0.95</v>
      </c>
      <c r="C29" s="11" t="n">
        <f aca="false">Data!N19</f>
        <v>4.92616666666667</v>
      </c>
      <c r="D29" s="11" t="n">
        <f aca="false">Data!R19</f>
        <v>14.7424446327684</v>
      </c>
      <c r="E29" s="11" t="n">
        <f aca="false">Data!S19</f>
        <v>-13.7924446327684</v>
      </c>
      <c r="F29" s="11" t="n">
        <f aca="false">Data!U19</f>
        <v>-1.23040458499973</v>
      </c>
      <c r="G29" s="0" t="str">
        <f aca="false">Data!V19</f>
        <v/>
      </c>
    </row>
    <row r="30" customFormat="false" ht="15" hidden="false" customHeight="false" outlineLevel="0" collapsed="false">
      <c r="A30" s="15" t="n">
        <f aca="false">Data!B20</f>
        <v>44013</v>
      </c>
      <c r="B30" s="11" t="n">
        <f aca="false">Data!G20</f>
        <v>1.426</v>
      </c>
      <c r="C30" s="11" t="n">
        <f aca="false">Data!N20</f>
        <v>2.6765</v>
      </c>
      <c r="D30" s="11" t="n">
        <f aca="false">Data!R20</f>
        <v>14.6014903954802</v>
      </c>
      <c r="E30" s="11" t="n">
        <f aca="false">Data!S20</f>
        <v>-13.1754903954802</v>
      </c>
      <c r="F30" s="11" t="n">
        <f aca="false">Data!U20</f>
        <v>-1.17536696530968</v>
      </c>
      <c r="G30" s="0" t="str">
        <f aca="false">Data!V20</f>
        <v/>
      </c>
    </row>
    <row r="31" customFormat="false" ht="15" hidden="false" customHeight="false" outlineLevel="0" collapsed="false">
      <c r="A31" s="15" t="n">
        <f aca="false">Data!B21</f>
        <v>44044</v>
      </c>
      <c r="B31" s="11" t="n">
        <f aca="false">Data!G21</f>
        <v>2.376</v>
      </c>
      <c r="C31" s="11" t="n">
        <f aca="false">Data!N21</f>
        <v>1.45641666666667</v>
      </c>
      <c r="D31" s="11" t="n">
        <f aca="false">Data!R21</f>
        <v>14.4605361581921</v>
      </c>
      <c r="E31" s="11" t="n">
        <f aca="false">Data!S21</f>
        <v>-12.0845361581921</v>
      </c>
      <c r="F31" s="11" t="n">
        <f aca="false">Data!U21</f>
        <v>-1.07804447235618</v>
      </c>
      <c r="G31" s="0" t="str">
        <f aca="false">Data!V21</f>
        <v/>
      </c>
    </row>
    <row r="32" customFormat="false" ht="15" hidden="false" customHeight="false" outlineLevel="0" collapsed="false">
      <c r="A32" s="15" t="n">
        <f aca="false">Data!B22</f>
        <v>44075</v>
      </c>
      <c r="B32" s="11" t="n">
        <f aca="false">Data!G22</f>
        <v>1.901</v>
      </c>
      <c r="C32" s="11" t="n">
        <f aca="false">Data!N22</f>
        <v>1.28275</v>
      </c>
      <c r="D32" s="11" t="n">
        <f aca="false">Data!R22</f>
        <v>14.319581920904</v>
      </c>
      <c r="E32" s="11" t="n">
        <f aca="false">Data!S22</f>
        <v>-12.418581920904</v>
      </c>
      <c r="F32" s="11" t="n">
        <f aca="false">Data!U22</f>
        <v>-1.1078442249732</v>
      </c>
      <c r="G32" s="0" t="str">
        <f aca="false">Data!V22</f>
        <v/>
      </c>
    </row>
    <row r="33" customFormat="false" ht="15" hidden="false" customHeight="false" outlineLevel="0" collapsed="false">
      <c r="A33" s="15" t="n">
        <f aca="false">Data!B23</f>
        <v>44105</v>
      </c>
      <c r="B33" s="11" t="n">
        <f aca="false">Data!G23</f>
        <v>0.76</v>
      </c>
      <c r="C33" s="11" t="n">
        <f aca="false">Data!N23</f>
        <v>1.372</v>
      </c>
      <c r="D33" s="11" t="n">
        <f aca="false">Data!R23</f>
        <v>14.1786276836158</v>
      </c>
      <c r="E33" s="11" t="n">
        <f aca="false">Data!S23</f>
        <v>-13.4186276836158</v>
      </c>
      <c r="F33" s="11" t="n">
        <f aca="false">Data!U23</f>
        <v>-1.19705690078317</v>
      </c>
      <c r="G33" s="0" t="str">
        <f aca="false">Data!V23</f>
        <v/>
      </c>
    </row>
    <row r="34" customFormat="false" ht="15" hidden="false" customHeight="false" outlineLevel="0" collapsed="false">
      <c r="A34" s="15" t="n">
        <f aca="false">Data!B24</f>
        <v>44136</v>
      </c>
      <c r="B34" s="11" t="n">
        <f aca="false">Data!G24</f>
        <v>0.57</v>
      </c>
      <c r="C34" s="11" t="n">
        <f aca="false">Data!N24</f>
        <v>1.46125</v>
      </c>
      <c r="D34" s="11" t="n">
        <f aca="false">Data!R24</f>
        <v>14.0376734463277</v>
      </c>
      <c r="E34" s="11" t="n">
        <f aca="false">Data!S24</f>
        <v>-13.4676734463277</v>
      </c>
      <c r="F34" s="11" t="n">
        <f aca="false">Data!U24</f>
        <v>-1.20143220428609</v>
      </c>
      <c r="G34" s="0" t="str">
        <f aca="false">Data!V24</f>
        <v/>
      </c>
    </row>
    <row r="35" customFormat="false" ht="15" hidden="false" customHeight="false" outlineLevel="0" collapsed="false">
      <c r="A35" s="15" t="n">
        <f aca="false">Data!B25</f>
        <v>44166</v>
      </c>
      <c r="B35" s="11" t="n">
        <f aca="false">Data!G25</f>
        <v>0.76</v>
      </c>
      <c r="C35" s="11" t="n">
        <f aca="false">Data!N25</f>
        <v>1.5505</v>
      </c>
      <c r="D35" s="11" t="n">
        <f aca="false">Data!R25</f>
        <v>13.8967192090395</v>
      </c>
      <c r="E35" s="11" t="n">
        <f aca="false">Data!S25</f>
        <v>-13.1367192090395</v>
      </c>
      <c r="F35" s="11" t="n">
        <f aca="false">Data!U25</f>
        <v>-1.17190824230353</v>
      </c>
      <c r="G35" s="0" t="str">
        <f aca="false">Data!V25</f>
        <v/>
      </c>
    </row>
    <row r="36" customFormat="false" ht="15" hidden="false" customHeight="false" outlineLevel="0" collapsed="false">
      <c r="A36" s="15" t="n">
        <f aca="false">Data!B26</f>
        <v>44197</v>
      </c>
      <c r="B36" s="11" t="n">
        <f aca="false">Data!G26</f>
        <v>1.516</v>
      </c>
      <c r="C36" s="11" t="n">
        <f aca="false">Data!N26</f>
        <v>1.62533333333333</v>
      </c>
      <c r="D36" s="11" t="n">
        <f aca="false">Data!R26</f>
        <v>13.7557649717514</v>
      </c>
      <c r="E36" s="11" t="n">
        <f aca="false">Data!S26</f>
        <v>-12.2397649717514</v>
      </c>
      <c r="F36" s="11" t="n">
        <f aca="false">Data!U26</f>
        <v>-1.09189221646629</v>
      </c>
      <c r="G36" s="0" t="str">
        <f aca="false">Data!V26</f>
        <v/>
      </c>
    </row>
    <row r="37" customFormat="false" ht="15" hidden="false" customHeight="false" outlineLevel="0" collapsed="false">
      <c r="A37" s="15" t="n">
        <f aca="false">Data!B27</f>
        <v>44228</v>
      </c>
      <c r="B37" s="11" t="n">
        <f aca="false">Data!G27</f>
        <v>1.516</v>
      </c>
      <c r="C37" s="11" t="n">
        <f aca="false">Data!N27</f>
        <v>1.60416666666667</v>
      </c>
      <c r="D37" s="11" t="n">
        <f aca="false">Data!R27</f>
        <v>13.6148107344633</v>
      </c>
      <c r="E37" s="11" t="n">
        <f aca="false">Data!S27</f>
        <v>-12.0988107344633</v>
      </c>
      <c r="F37" s="11" t="n">
        <f aca="false">Data!U27</f>
        <v>-1.07931788722647</v>
      </c>
      <c r="G37" s="0" t="str">
        <f aca="false">Data!V27</f>
        <v/>
      </c>
    </row>
    <row r="38" customFormat="false" ht="15" hidden="false" customHeight="false" outlineLevel="0" collapsed="false">
      <c r="A38" s="15" t="n">
        <f aca="false">Data!B28</f>
        <v>44256</v>
      </c>
      <c r="B38" s="11" t="n">
        <f aca="false">Data!G28</f>
        <v>1.718</v>
      </c>
      <c r="C38" s="11" t="n">
        <f aca="false">Data!N28</f>
        <v>1.61416666666667</v>
      </c>
      <c r="D38" s="11" t="n">
        <f aca="false">Data!R28</f>
        <v>13.4738564971751</v>
      </c>
      <c r="E38" s="11" t="n">
        <f aca="false">Data!S28</f>
        <v>-11.7558564971751</v>
      </c>
      <c r="F38" s="11" t="n">
        <f aca="false">Data!U28</f>
        <v>-1.04872342212331</v>
      </c>
      <c r="G38" s="0" t="str">
        <f aca="false">Data!V28</f>
        <v/>
      </c>
    </row>
    <row r="39" customFormat="false" ht="15" hidden="false" customHeight="false" outlineLevel="0" collapsed="false">
      <c r="A39" s="15" t="n">
        <f aca="false">Data!B29</f>
        <v>44287</v>
      </c>
      <c r="B39" s="11" t="n">
        <f aca="false">Data!G29</f>
        <v>2.021</v>
      </c>
      <c r="C39" s="11" t="n">
        <f aca="false">Data!N29</f>
        <v>1.7445</v>
      </c>
      <c r="D39" s="11" t="n">
        <f aca="false">Data!R29</f>
        <v>13.332902259887</v>
      </c>
      <c r="E39" s="11" t="n">
        <f aca="false">Data!S29</f>
        <v>-11.311902259887</v>
      </c>
      <c r="F39" s="11" t="n">
        <f aca="false">Data!U29</f>
        <v>-1.0091188890885</v>
      </c>
      <c r="G39" s="0" t="str">
        <f aca="false">Data!V29</f>
        <v/>
      </c>
    </row>
    <row r="40" customFormat="false" ht="15" hidden="false" customHeight="false" outlineLevel="0" collapsed="false">
      <c r="A40" s="15" t="n">
        <f aca="false">Data!B30</f>
        <v>44317</v>
      </c>
      <c r="B40" s="11" t="n">
        <f aca="false">Data!G30</f>
        <v>2.021</v>
      </c>
      <c r="C40" s="11" t="n">
        <f aca="false">Data!N30</f>
        <v>1.94958333333333</v>
      </c>
      <c r="D40" s="11" t="n">
        <f aca="false">Data!R30</f>
        <v>13.1919480225989</v>
      </c>
      <c r="E40" s="11" t="n">
        <f aca="false">Data!S30</f>
        <v>-11.1709480225989</v>
      </c>
      <c r="F40" s="11" t="n">
        <f aca="false">Data!U30</f>
        <v>-0.996544559848672</v>
      </c>
      <c r="G40" s="0" t="str">
        <f aca="false">Data!V30</f>
        <v/>
      </c>
    </row>
    <row r="41" customFormat="false" ht="15" hidden="false" customHeight="false" outlineLevel="0" collapsed="false">
      <c r="A41" s="15" t="n">
        <f aca="false">Data!B31</f>
        <v>44348</v>
      </c>
      <c r="B41" s="11" t="n">
        <f aca="false">Data!G31</f>
        <v>2.021</v>
      </c>
      <c r="C41" s="11" t="n">
        <f aca="false">Data!N31</f>
        <v>2.20625</v>
      </c>
      <c r="D41" s="11" t="n">
        <f aca="false">Data!R31</f>
        <v>13.0509937853107</v>
      </c>
      <c r="E41" s="11" t="n">
        <f aca="false">Data!S31</f>
        <v>-11.0299937853107</v>
      </c>
      <c r="F41" s="11" t="n">
        <f aca="false">Data!U31</f>
        <v>-0.983970230608849</v>
      </c>
      <c r="G41" s="0" t="str">
        <f aca="false">Data!V31</f>
        <v/>
      </c>
    </row>
    <row r="42" customFormat="false" ht="15" hidden="false" customHeight="false" outlineLevel="0" collapsed="false">
      <c r="A42" s="15" t="n">
        <f aca="false">Data!B32</f>
        <v>44378</v>
      </c>
      <c r="B42" s="11" t="n">
        <f aca="false">Data!G32</f>
        <v>2.324</v>
      </c>
      <c r="C42" s="11" t="n">
        <f aca="false">Data!N32</f>
        <v>2.28433333333333</v>
      </c>
      <c r="D42" s="11" t="n">
        <f aca="false">Data!R32</f>
        <v>12.9100395480226</v>
      </c>
      <c r="E42" s="11" t="n">
        <f aca="false">Data!S32</f>
        <v>-10.5860395480226</v>
      </c>
      <c r="F42" s="11" t="n">
        <f aca="false">Data!U32</f>
        <v>-0.944365697574031</v>
      </c>
      <c r="G42" s="0" t="str">
        <f aca="false">Data!V32</f>
        <v/>
      </c>
    </row>
    <row r="43" customFormat="false" ht="15" hidden="false" customHeight="false" outlineLevel="0" collapsed="false">
      <c r="A43" s="15" t="n">
        <f aca="false">Data!B33</f>
        <v>44409</v>
      </c>
      <c r="B43" s="11" t="n">
        <f aca="false">Data!G33</f>
        <v>2.122</v>
      </c>
      <c r="C43" s="11" t="n">
        <f aca="false">Data!N33</f>
        <v>2.37133333333333</v>
      </c>
      <c r="D43" s="11" t="n">
        <f aca="false">Data!R33</f>
        <v>12.7690853107345</v>
      </c>
      <c r="E43" s="11" t="n">
        <f aca="false">Data!S33</f>
        <v>-10.6470853107345</v>
      </c>
      <c r="F43" s="11" t="n">
        <f aca="false">Data!U33</f>
        <v>-0.949811504197537</v>
      </c>
      <c r="G43" s="0" t="str">
        <f aca="false">Data!V33</f>
        <v/>
      </c>
    </row>
    <row r="44" customFormat="false" ht="15" hidden="false" customHeight="false" outlineLevel="0" collapsed="false">
      <c r="A44" s="15" t="n">
        <f aca="false">Data!B34</f>
        <v>44440</v>
      </c>
      <c r="B44" s="11" t="n">
        <f aca="false">Data!G34</f>
        <v>2.021</v>
      </c>
      <c r="C44" s="11" t="n">
        <f aca="false">Data!N34</f>
        <v>2.47708333333333</v>
      </c>
      <c r="D44" s="11" t="n">
        <f aca="false">Data!R34</f>
        <v>12.6281310734463</v>
      </c>
      <c r="E44" s="11" t="n">
        <f aca="false">Data!S34</f>
        <v>-10.6071310734463</v>
      </c>
      <c r="F44" s="11" t="n">
        <f aca="false">Data!U34</f>
        <v>-0.946247242889379</v>
      </c>
      <c r="G44" s="0" t="str">
        <f aca="false">Data!V34</f>
        <v/>
      </c>
    </row>
    <row r="45" customFormat="false" ht="15" hidden="false" customHeight="false" outlineLevel="0" collapsed="false">
      <c r="A45" s="15" t="n">
        <f aca="false">Data!B35</f>
        <v>44470</v>
      </c>
      <c r="B45" s="11" t="n">
        <f aca="false">Data!G35</f>
        <v>2.324</v>
      </c>
      <c r="C45" s="11" t="n">
        <f aca="false">Data!N35</f>
        <v>2.66425</v>
      </c>
      <c r="D45" s="11" t="n">
        <f aca="false">Data!R35</f>
        <v>12.4871768361582</v>
      </c>
      <c r="E45" s="11" t="n">
        <f aca="false">Data!S35</f>
        <v>-10.1631768361582</v>
      </c>
      <c r="F45" s="11" t="n">
        <f aca="false">Data!U35</f>
        <v>-0.906642709854561</v>
      </c>
      <c r="G45" s="0" t="str">
        <f aca="false">Data!V35</f>
        <v/>
      </c>
    </row>
    <row r="46" customFormat="false" ht="15" hidden="false" customHeight="false" outlineLevel="0" collapsed="false">
      <c r="A46" s="15" t="n">
        <f aca="false">Data!B36</f>
        <v>44501</v>
      </c>
      <c r="B46" s="11" t="n">
        <f aca="false">Data!G36</f>
        <v>3.031</v>
      </c>
      <c r="C46" s="11" t="n">
        <f aca="false">Data!N36</f>
        <v>2.97583333333333</v>
      </c>
      <c r="D46" s="11" t="n">
        <f aca="false">Data!R36</f>
        <v>12.3462225988701</v>
      </c>
      <c r="E46" s="11" t="n">
        <f aca="false">Data!S36</f>
        <v>-9.31522259887005</v>
      </c>
      <c r="F46" s="11" t="n">
        <f aca="false">Data!U36</f>
        <v>-0.830997905093082</v>
      </c>
      <c r="G46" s="0" t="str">
        <f aca="false">Data!V36</f>
        <v/>
      </c>
    </row>
    <row r="47" customFormat="false" ht="15" hidden="false" customHeight="false" outlineLevel="0" collapsed="false">
      <c r="A47" s="15" t="n">
        <f aca="false">Data!B37</f>
        <v>44531</v>
      </c>
      <c r="B47" s="11" t="n">
        <f aca="false">Data!G37</f>
        <v>3.84</v>
      </c>
      <c r="C47" s="11" t="n">
        <f aca="false">Data!N37</f>
        <v>3.41183333333333</v>
      </c>
      <c r="D47" s="11" t="n">
        <f aca="false">Data!R37</f>
        <v>12.2052683615819</v>
      </c>
      <c r="E47" s="11" t="n">
        <f aca="false">Data!S37</f>
        <v>-8.36526836158192</v>
      </c>
      <c r="F47" s="11" t="n">
        <f aca="false">Data!U37</f>
        <v>-0.746253823806555</v>
      </c>
      <c r="G47" s="0" t="str">
        <f aca="false">Data!V37</f>
        <v/>
      </c>
    </row>
    <row r="48" customFormat="false" ht="15" hidden="false" customHeight="false" outlineLevel="0" collapsed="false">
      <c r="A48" s="15" t="n">
        <f aca="false">Data!B38</f>
        <v>44562</v>
      </c>
      <c r="B48" s="11" t="n">
        <f aca="false">Data!G38</f>
        <v>2.453</v>
      </c>
      <c r="C48" s="11" t="n">
        <f aca="false">Data!N38</f>
        <v>3.9915</v>
      </c>
      <c r="D48" s="11" t="n">
        <f aca="false">Data!R38</f>
        <v>12.0643141242938</v>
      </c>
      <c r="E48" s="11" t="n">
        <f aca="false">Data!S38</f>
        <v>-9.61131412429378</v>
      </c>
      <c r="F48" s="11" t="n">
        <f aca="false">Data!U38</f>
        <v>-0.857411813588707</v>
      </c>
      <c r="G48" s="0" t="str">
        <f aca="false">Data!V38</f>
        <v/>
      </c>
    </row>
    <row r="49" customFormat="false" ht="15" hidden="false" customHeight="false" outlineLevel="0" collapsed="false">
      <c r="A49" s="15" t="n">
        <f aca="false">Data!B39</f>
        <v>44593</v>
      </c>
      <c r="B49" s="11" t="n">
        <f aca="false">Data!G39</f>
        <v>2.56</v>
      </c>
      <c r="C49" s="11" t="n">
        <f aca="false">Data!N39</f>
        <v>4.588</v>
      </c>
      <c r="D49" s="11" t="n">
        <f aca="false">Data!R39</f>
        <v>11.9233598870056</v>
      </c>
      <c r="E49" s="11" t="n">
        <f aca="false">Data!S39</f>
        <v>-9.36335988700565</v>
      </c>
      <c r="F49" s="11" t="n">
        <f aca="false">Data!U39</f>
        <v>-0.835292164856922</v>
      </c>
      <c r="G49" s="0" t="str">
        <f aca="false">Data!V39</f>
        <v/>
      </c>
    </row>
    <row r="50" customFormat="false" ht="15" hidden="false" customHeight="false" outlineLevel="0" collapsed="false">
      <c r="A50" s="15" t="n">
        <f aca="false">Data!B40</f>
        <v>44621</v>
      </c>
      <c r="B50" s="11" t="n">
        <f aca="false">Data!G40</f>
        <v>2.987</v>
      </c>
      <c r="C50" s="11" t="n">
        <f aca="false">Data!N40</f>
        <v>5.21075</v>
      </c>
      <c r="D50" s="11" t="n">
        <f aca="false">Data!R40</f>
        <v>11.7824056497175</v>
      </c>
      <c r="E50" s="11" t="n">
        <f aca="false">Data!S40</f>
        <v>-8.79540564971751</v>
      </c>
      <c r="F50" s="11" t="n">
        <f aca="false">Data!U40</f>
        <v>-0.784625766242633</v>
      </c>
      <c r="G50" s="0" t="str">
        <f aca="false">Data!V40</f>
        <v/>
      </c>
    </row>
    <row r="51" customFormat="false" ht="15" hidden="false" customHeight="false" outlineLevel="0" collapsed="false">
      <c r="A51" s="15" t="n">
        <f aca="false">Data!B41</f>
        <v>44652</v>
      </c>
      <c r="B51" s="11" t="n">
        <f aca="false">Data!G41</f>
        <v>4.267</v>
      </c>
      <c r="C51" s="11" t="n">
        <f aca="false">Data!N41</f>
        <v>5.95041666666667</v>
      </c>
      <c r="D51" s="11" t="n">
        <f aca="false">Data!R41</f>
        <v>11.6414514124294</v>
      </c>
      <c r="E51" s="11" t="n">
        <f aca="false">Data!S41</f>
        <v>-7.37445141242938</v>
      </c>
      <c r="F51" s="11" t="n">
        <f aca="false">Data!U41</f>
        <v>-0.657864437472797</v>
      </c>
      <c r="G51" s="0" t="str">
        <f aca="false">Data!V41</f>
        <v/>
      </c>
    </row>
    <row r="52" customFormat="false" ht="15" hidden="false" customHeight="false" outlineLevel="0" collapsed="false">
      <c r="A52" s="15" t="n">
        <f aca="false">Data!B42</f>
        <v>44682</v>
      </c>
      <c r="B52" s="11" t="n">
        <f aca="false">Data!G42</f>
        <v>5.76</v>
      </c>
      <c r="C52" s="11" t="n">
        <f aca="false">Data!N42</f>
        <v>6.7645</v>
      </c>
      <c r="D52" s="11" t="n">
        <f aca="false">Data!R42</f>
        <v>11.5004971751412</v>
      </c>
      <c r="E52" s="11" t="n">
        <f aca="false">Data!S42</f>
        <v>-5.74049717514124</v>
      </c>
      <c r="F52" s="11" t="n">
        <f aca="false">Data!U42</f>
        <v>-0.512101678312419</v>
      </c>
      <c r="G52" s="0" t="str">
        <f aca="false">Data!V42</f>
        <v/>
      </c>
    </row>
    <row r="53" customFormat="false" ht="15" hidden="false" customHeight="false" outlineLevel="0" collapsed="false">
      <c r="A53" s="15" t="n">
        <f aca="false">Data!B43</f>
        <v>44713</v>
      </c>
      <c r="B53" s="11" t="n">
        <f aca="false">Data!G43</f>
        <v>7.253</v>
      </c>
      <c r="C53" s="11" t="n">
        <f aca="false">Data!N43</f>
        <v>7.77783333333333</v>
      </c>
      <c r="D53" s="11" t="n">
        <f aca="false">Data!R43</f>
        <v>11.3595429378531</v>
      </c>
      <c r="E53" s="11" t="n">
        <f aca="false">Data!S43</f>
        <v>-4.1065429378531</v>
      </c>
      <c r="F53" s="11" t="n">
        <f aca="false">Data!U43</f>
        <v>-0.366338919152041</v>
      </c>
      <c r="G53" s="0" t="str">
        <f aca="false">Data!V43</f>
        <v/>
      </c>
    </row>
    <row r="54" customFormat="false" ht="15" hidden="false" customHeight="false" outlineLevel="0" collapsed="false">
      <c r="A54" s="15" t="n">
        <f aca="false">Data!B44</f>
        <v>44743</v>
      </c>
      <c r="B54" s="11" t="n">
        <f aca="false">Data!G44</f>
        <v>9.28</v>
      </c>
      <c r="C54" s="11" t="n">
        <f aca="false">Data!N44</f>
        <v>8.78758333333333</v>
      </c>
      <c r="D54" s="11" t="n">
        <f aca="false">Data!R44</f>
        <v>11.218588700565</v>
      </c>
      <c r="E54" s="11" t="n">
        <f aca="false">Data!S44</f>
        <v>-1.93858870056497</v>
      </c>
      <c r="F54" s="11" t="n">
        <f aca="false">Data!U44</f>
        <v>-0.172938771125236</v>
      </c>
      <c r="G54" s="0" t="str">
        <f aca="false">Data!V44</f>
        <v/>
      </c>
    </row>
    <row r="55" customFormat="false" ht="15" hidden="false" customHeight="false" outlineLevel="0" collapsed="false">
      <c r="A55" s="15" t="n">
        <f aca="false">Data!B45</f>
        <v>44774</v>
      </c>
      <c r="B55" s="11" t="n">
        <f aca="false">Data!G45</f>
        <v>9.28</v>
      </c>
      <c r="C55" s="11" t="n">
        <f aca="false">Data!N45</f>
        <v>9.87216666666667</v>
      </c>
      <c r="D55" s="11" t="n">
        <f aca="false">Data!R45</f>
        <v>11.0776344632768</v>
      </c>
      <c r="E55" s="11" t="n">
        <f aca="false">Data!S45</f>
        <v>-1.79763446327683</v>
      </c>
      <c r="F55" s="11" t="n">
        <f aca="false">Data!U45</f>
        <v>-0.160364441885412</v>
      </c>
      <c r="G55" s="0" t="str">
        <f aca="false">Data!V45</f>
        <v/>
      </c>
    </row>
    <row r="56" customFormat="false" ht="15" hidden="false" customHeight="false" outlineLevel="0" collapsed="false">
      <c r="A56" s="15" t="n">
        <f aca="false">Data!B46</f>
        <v>44805</v>
      </c>
      <c r="B56" s="11" t="n">
        <f aca="false">Data!G46</f>
        <v>9.494</v>
      </c>
      <c r="C56" s="11" t="n">
        <f aca="false">Data!N46</f>
        <v>11.0885833333333</v>
      </c>
      <c r="D56" s="11" t="n">
        <f aca="false">Data!R46</f>
        <v>10.9366802259887</v>
      </c>
      <c r="E56" s="11" t="n">
        <f aca="false">Data!S46</f>
        <v>-1.4426802259887</v>
      </c>
      <c r="F56" s="11" t="n">
        <f aca="false">Data!U46</f>
        <v>-0.128699473661665</v>
      </c>
      <c r="G56" s="0" t="str">
        <f aca="false">Data!V46</f>
        <v/>
      </c>
    </row>
    <row r="57" customFormat="false" ht="15" hidden="false" customHeight="false" outlineLevel="0" collapsed="false">
      <c r="A57" s="15" t="n">
        <f aca="false">Data!B47</f>
        <v>44835</v>
      </c>
      <c r="B57" s="11" t="n">
        <f aca="false">Data!G47</f>
        <v>11.2</v>
      </c>
      <c r="C57" s="11" t="n">
        <f aca="false">Data!N47</f>
        <v>12.24025</v>
      </c>
      <c r="D57" s="11" t="n">
        <f aca="false">Data!R47</f>
        <v>10.7957259887006</v>
      </c>
      <c r="E57" s="11" t="n">
        <f aca="false">Data!S47</f>
        <v>0.404274011299437</v>
      </c>
      <c r="F57" s="11" t="n">
        <f aca="false">Data!U47</f>
        <v>0.0360647158892541</v>
      </c>
      <c r="G57" s="0" t="str">
        <f aca="false">Data!V47</f>
        <v/>
      </c>
    </row>
    <row r="58" customFormat="false" ht="15" hidden="false" customHeight="false" outlineLevel="0" collapsed="false">
      <c r="A58" s="15" t="n">
        <f aca="false">Data!B48</f>
        <v>44866</v>
      </c>
      <c r="B58" s="11" t="n">
        <f aca="false">Data!G48</f>
        <v>12.8</v>
      </c>
      <c r="C58" s="11" t="n">
        <f aca="false">Data!N48</f>
        <v>13.2675</v>
      </c>
      <c r="D58" s="11" t="n">
        <f aca="false">Data!R48</f>
        <v>10.6547717514124</v>
      </c>
      <c r="E58" s="11" t="n">
        <f aca="false">Data!S48</f>
        <v>2.14522824858757</v>
      </c>
      <c r="F58" s="11" t="n">
        <f aca="false">Data!U48</f>
        <v>0.191372794541594</v>
      </c>
      <c r="G58" s="0" t="str">
        <f aca="false">Data!V48</f>
        <v/>
      </c>
    </row>
    <row r="59" customFormat="false" ht="15" hidden="false" customHeight="false" outlineLevel="0" collapsed="false">
      <c r="A59" s="15" t="n">
        <f aca="false">Data!B49</f>
        <v>44896</v>
      </c>
      <c r="B59" s="11" t="n">
        <f aca="false">Data!G49</f>
        <v>16</v>
      </c>
      <c r="C59" s="11" t="n">
        <f aca="false">Data!N49</f>
        <v>14.2959166666667</v>
      </c>
      <c r="D59" s="11" t="n">
        <f aca="false">Data!R49</f>
        <v>10.5138175141243</v>
      </c>
      <c r="E59" s="11" t="n">
        <f aca="false">Data!S49</f>
        <v>5.48618248587571</v>
      </c>
      <c r="F59" s="11" t="n">
        <f aca="false">Data!U49</f>
        <v>0.489414622606451</v>
      </c>
      <c r="G59" s="0" t="str">
        <f aca="false">Data!V49</f>
        <v/>
      </c>
    </row>
    <row r="60" customFormat="false" ht="15" hidden="false" customHeight="false" outlineLevel="0" collapsed="false">
      <c r="A60" s="15" t="n">
        <f aca="false">Data!B50</f>
        <v>44927</v>
      </c>
      <c r="B60" s="11" t="n">
        <f aca="false">Data!G50</f>
        <v>14.57</v>
      </c>
      <c r="C60" s="11" t="n">
        <f aca="false">Data!N50</f>
        <v>15.3228333333333</v>
      </c>
      <c r="D60" s="11" t="n">
        <f aca="false">Data!R50</f>
        <v>10.3728632768362</v>
      </c>
      <c r="E60" s="11" t="n">
        <f aca="false">Data!S50</f>
        <v>4.19713672316384</v>
      </c>
      <c r="F60" s="11" t="n">
        <f aca="false">Data!U50</f>
        <v>0.374420663308837</v>
      </c>
      <c r="G60" s="0" t="str">
        <f aca="false">Data!V50</f>
        <v/>
      </c>
    </row>
    <row r="61" customFormat="false" ht="15" hidden="false" customHeight="false" outlineLevel="0" collapsed="false">
      <c r="A61" s="15" t="n">
        <f aca="false">Data!B51</f>
        <v>44958</v>
      </c>
      <c r="B61" s="11" t="n">
        <f aca="false">Data!G51</f>
        <v>15.575</v>
      </c>
      <c r="C61" s="11" t="n">
        <f aca="false">Data!N51</f>
        <v>16.3916666666667</v>
      </c>
      <c r="D61" s="11" t="n">
        <f aca="false">Data!R51</f>
        <v>10.231909039548</v>
      </c>
      <c r="E61" s="11" t="n">
        <f aca="false">Data!S51</f>
        <v>5.34309096045198</v>
      </c>
      <c r="F61" s="11" t="n">
        <f aca="false">Data!U51</f>
        <v>0.476649628898397</v>
      </c>
      <c r="G61" s="0" t="str">
        <f aca="false">Data!V51</f>
        <v/>
      </c>
    </row>
    <row r="62" customFormat="false" ht="15" hidden="false" customHeight="false" outlineLevel="0" collapsed="false">
      <c r="A62" s="15" t="n">
        <f aca="false">Data!B52</f>
        <v>44986</v>
      </c>
      <c r="B62" s="11" t="n">
        <f aca="false">Data!G52</f>
        <v>17.584</v>
      </c>
      <c r="C62" s="11" t="n">
        <f aca="false">Data!N52</f>
        <v>17.2919166666667</v>
      </c>
      <c r="D62" s="11" t="n">
        <f aca="false">Data!R52</f>
        <v>10.0909548022599</v>
      </c>
      <c r="E62" s="11" t="n">
        <f aca="false">Data!S52</f>
        <v>7.49304519774012</v>
      </c>
      <c r="F62" s="11" t="n">
        <f aca="false">Data!U52</f>
        <v>0.668444022244312</v>
      </c>
      <c r="G62" s="0" t="str">
        <f aca="false">Data!V52</f>
        <v/>
      </c>
    </row>
    <row r="63" customFormat="false" ht="15" hidden="false" customHeight="false" outlineLevel="0" collapsed="false">
      <c r="A63" s="15" t="n">
        <f aca="false">Data!B53</f>
        <v>45017</v>
      </c>
      <c r="B63" s="11" t="n">
        <f aca="false">Data!G53</f>
        <v>18.087</v>
      </c>
      <c r="C63" s="11" t="n">
        <f aca="false">Data!N53</f>
        <v>18.16725</v>
      </c>
      <c r="D63" s="11" t="n">
        <f aca="false">Data!R53</f>
        <v>9.95000056497175</v>
      </c>
      <c r="E63" s="11" t="n">
        <f aca="false">Data!S53</f>
        <v>8.13699943502825</v>
      </c>
      <c r="F63" s="11" t="n">
        <f aca="false">Data!U53</f>
        <v>0.725890273955695</v>
      </c>
      <c r="G63" s="0" t="str">
        <f aca="false">Data!V53</f>
        <v/>
      </c>
    </row>
    <row r="64" customFormat="false" ht="15" hidden="false" customHeight="false" outlineLevel="0" collapsed="false">
      <c r="A64" s="15" t="n">
        <f aca="false">Data!B54</f>
        <v>45047</v>
      </c>
      <c r="B64" s="11" t="n">
        <f aca="false">Data!G54</f>
        <v>18.087</v>
      </c>
      <c r="C64" s="11" t="n">
        <f aca="false">Data!N54</f>
        <v>18.9595</v>
      </c>
      <c r="D64" s="11" t="n">
        <f aca="false">Data!R54</f>
        <v>9.80904632768361</v>
      </c>
      <c r="E64" s="11" t="n">
        <f aca="false">Data!S54</f>
        <v>8.27795367231639</v>
      </c>
      <c r="F64" s="11" t="n">
        <f aca="false">Data!U54</f>
        <v>0.738464603195518</v>
      </c>
      <c r="G64" s="0" t="str">
        <f aca="false">Data!V54</f>
        <v/>
      </c>
    </row>
    <row r="65" customFormat="false" ht="15" hidden="false" customHeight="false" outlineLevel="0" collapsed="false">
      <c r="A65" s="15" t="n">
        <f aca="false">Data!B55</f>
        <v>45078</v>
      </c>
      <c r="B65" s="11" t="n">
        <f aca="false">Data!G55</f>
        <v>19.594</v>
      </c>
      <c r="C65" s="11" t="n">
        <f aca="false">Data!N55</f>
        <v>19.76975</v>
      </c>
      <c r="D65" s="11" t="n">
        <f aca="false">Data!R55</f>
        <v>9.66809209039548</v>
      </c>
      <c r="E65" s="11" t="n">
        <f aca="false">Data!S55</f>
        <v>9.92590790960452</v>
      </c>
      <c r="F65" s="11" t="n">
        <f aca="false">Data!U55</f>
        <v>0.885476282663256</v>
      </c>
      <c r="G65" s="0" t="str">
        <f aca="false">Data!V55</f>
        <v/>
      </c>
    </row>
    <row r="66" customFormat="false" ht="15" hidden="false" customHeight="false" outlineLevel="0" collapsed="false">
      <c r="A66" s="15" t="n">
        <f aca="false">Data!B56</f>
        <v>45108</v>
      </c>
      <c r="B66" s="11" t="n">
        <f aca="false">Data!G56</f>
        <v>21.603</v>
      </c>
      <c r="C66" s="11" t="n">
        <f aca="false">Data!N56</f>
        <v>20.6008333333333</v>
      </c>
      <c r="D66" s="11" t="n">
        <f aca="false">Data!R56</f>
        <v>9.52713785310734</v>
      </c>
      <c r="E66" s="11" t="n">
        <f aca="false">Data!S56</f>
        <v>12.0758621468927</v>
      </c>
      <c r="F66" s="11" t="n">
        <f aca="false">Data!U56</f>
        <v>1.07727067600917</v>
      </c>
      <c r="G66" s="0" t="str">
        <f aca="false">Data!V56</f>
        <v/>
      </c>
    </row>
    <row r="67" customFormat="false" ht="15" hidden="false" customHeight="false" outlineLevel="0" collapsed="false">
      <c r="A67" s="15" t="n">
        <f aca="false">Data!B57</f>
        <v>45139</v>
      </c>
      <c r="B67" s="11" t="n">
        <f aca="false">Data!G57</f>
        <v>22.106</v>
      </c>
      <c r="C67" s="11" t="n">
        <f aca="false">Data!N57</f>
        <v>21.44375</v>
      </c>
      <c r="D67" s="11" t="n">
        <f aca="false">Data!R57</f>
        <v>9.38618361581921</v>
      </c>
      <c r="E67" s="11" t="n">
        <f aca="false">Data!S57</f>
        <v>12.7198163841808</v>
      </c>
      <c r="F67" s="11" t="n">
        <f aca="false">Data!U57</f>
        <v>1.13471692772055</v>
      </c>
      <c r="G67" s="0" t="str">
        <f aca="false">Data!V57</f>
        <v/>
      </c>
    </row>
    <row r="68" customFormat="false" ht="15" hidden="false" customHeight="false" outlineLevel="0" collapsed="false">
      <c r="A68" s="15" t="n">
        <f aca="false">Data!B58</f>
        <v>45170</v>
      </c>
      <c r="B68" s="11" t="n">
        <f aca="false">Data!G58</f>
        <v>20.297</v>
      </c>
      <c r="C68" s="11" t="n">
        <f aca="false">Data!N58</f>
        <v>22.1534166666667</v>
      </c>
      <c r="D68" s="11" t="n">
        <f aca="false">Data!R58</f>
        <v>9.24522937853107</v>
      </c>
      <c r="E68" s="11" t="n">
        <f aca="false">Data!S58</f>
        <v>11.0517706214689</v>
      </c>
      <c r="F68" s="11" t="n">
        <f aca="false">Data!U58</f>
        <v>0.98591291153085</v>
      </c>
      <c r="G68" s="0" t="str">
        <f aca="false">Data!V58</f>
        <v/>
      </c>
    </row>
    <row r="69" customFormat="false" ht="15" hidden="false" customHeight="false" outlineLevel="0" collapsed="false">
      <c r="A69" s="15" t="n">
        <f aca="false">Data!B59</f>
        <v>45200</v>
      </c>
      <c r="B69" s="11" t="n">
        <f aca="false">Data!G59</f>
        <v>21.704</v>
      </c>
      <c r="C69" s="11" t="str">
        <f aca="false">Data!N59</f>
        <v/>
      </c>
      <c r="D69" s="11" t="n">
        <f aca="false">Data!R59</f>
        <v>9.10427514124294</v>
      </c>
      <c r="E69" s="11" t="n">
        <f aca="false">Data!S59</f>
        <v>12.5997248587571</v>
      </c>
      <c r="F69" s="11" t="n">
        <f aca="false">Data!U59</f>
        <v>1.1240037316603</v>
      </c>
      <c r="G69" s="0" t="str">
        <f aca="false">Data!V59</f>
        <v/>
      </c>
    </row>
    <row r="70" customFormat="false" ht="15" hidden="false" customHeight="false" outlineLevel="0" collapsed="false">
      <c r="A70" s="15" t="n">
        <f aca="false">Data!B60</f>
        <v>45231</v>
      </c>
      <c r="B70" s="11" t="n">
        <f aca="false">Data!G60</f>
        <v>22.307</v>
      </c>
      <c r="C70" s="11" t="str">
        <f aca="false">Data!N60</f>
        <v/>
      </c>
      <c r="D70" s="11" t="n">
        <f aca="false">Data!R60</f>
        <v>8.9633209039548</v>
      </c>
      <c r="E70" s="11" t="n">
        <f aca="false">Data!S60</f>
        <v>13.3436790960452</v>
      </c>
      <c r="F70" s="11" t="n">
        <f aca="false">Data!U60</f>
        <v>1.19037084270997</v>
      </c>
      <c r="G70" s="0" t="str">
        <f aca="false">Data!V60</f>
        <v/>
      </c>
    </row>
    <row r="71" customFormat="false" ht="15" hidden="false" customHeight="false" outlineLevel="0" collapsed="false">
      <c r="A71" s="15" t="n">
        <f aca="false">Data!B61</f>
        <v>45261</v>
      </c>
      <c r="B71" s="11" t="n">
        <f aca="false">Data!G61</f>
        <v>25.723</v>
      </c>
      <c r="C71" s="11" t="str">
        <f aca="false">Data!N61</f>
        <v/>
      </c>
      <c r="D71" s="11" t="n">
        <f aca="false">Data!R61</f>
        <v>8.82236666666666</v>
      </c>
      <c r="E71" s="11" t="n">
        <f aca="false">Data!S61</f>
        <v>16.9006333333333</v>
      </c>
      <c r="F71" s="11" t="n">
        <f aca="false">Data!U61</f>
        <v>1.50768172694552</v>
      </c>
      <c r="G71" s="0" t="str">
        <f aca="false">Data!V61</f>
        <v/>
      </c>
    </row>
    <row r="72" customFormat="false" ht="15" hidden="false" customHeight="false" outlineLevel="0" collapsed="false">
      <c r="A72" s="15" t="n">
        <f aca="false">Data!B62</f>
        <v>45292</v>
      </c>
      <c r="B72" s="11" t="n">
        <f aca="false">Data!G62</f>
        <v>24.543</v>
      </c>
      <c r="C72" s="11" t="str">
        <f aca="false">Data!N62</f>
        <v/>
      </c>
      <c r="D72" s="11" t="n">
        <f aca="false">Data!R62</f>
        <v>8.68141242937853</v>
      </c>
      <c r="E72" s="11" t="n">
        <f aca="false">Data!S62</f>
        <v>15.8615875706215</v>
      </c>
      <c r="F72" s="11" t="n">
        <f aca="false">Data!U62</f>
        <v>1.41498991599361</v>
      </c>
      <c r="G72" s="0" t="str">
        <f aca="false">Data!V62</f>
        <v/>
      </c>
    </row>
    <row r="73" customFormat="false" ht="15" hidden="false" customHeight="false" outlineLevel="0" collapsed="false">
      <c r="A73" s="15" t="n">
        <f aca="false">Data!B63</f>
        <v>45323</v>
      </c>
      <c r="B73" s="11" t="n">
        <f aca="false">Data!G63</f>
        <v>25.69</v>
      </c>
      <c r="C73" s="11" t="str">
        <f aca="false">Data!N63</f>
        <v/>
      </c>
      <c r="D73" s="11" t="n">
        <f aca="false">Data!R63</f>
        <v>8.54045819209039</v>
      </c>
      <c r="E73" s="11" t="n">
        <f aca="false">Data!S63</f>
        <v>17.1495418079096</v>
      </c>
      <c r="F73" s="11" t="n">
        <f aca="false">Data!U63</f>
        <v>1.52988650184353</v>
      </c>
      <c r="G73" s="0" t="str">
        <f aca="false">Data!V63</f>
        <v/>
      </c>
    </row>
    <row r="74" customFormat="false" ht="15" hidden="false" customHeight="false" outlineLevel="0" collapsed="false">
      <c r="A74" s="15" t="n">
        <f aca="false">Data!B64</f>
        <v>45352</v>
      </c>
      <c r="B74" s="11" t="n">
        <f aca="false">Data!G64</f>
        <v>26.1</v>
      </c>
      <c r="C74" s="11" t="n">
        <f aca="false">Data!N64</f>
        <v>0</v>
      </c>
      <c r="D74" s="11" t="n">
        <f aca="false">Data!R64</f>
        <v>8.39950395480226</v>
      </c>
      <c r="E74" s="11" t="n">
        <f aca="false">Data!S64</f>
        <v>17.7004960451977</v>
      </c>
      <c r="F74" s="11" t="n">
        <f aca="false">Data!U64</f>
        <v>1.57903635437031</v>
      </c>
      <c r="G74" s="0" t="n">
        <f aca="false">Data!V64</f>
        <v>0</v>
      </c>
    </row>
  </sheetData>
  <mergeCells count="1">
    <mergeCell ref="A1:G1"/>
  </mergeCells>
  <conditionalFormatting sqref="G12:G74">
    <cfRule type="expression" priority="2" aboveAverage="0" equalAverage="0" bottom="0" percent="0" rank="0" text="" dxfId="18">
      <formula>$G12="Anomaly"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8" min="1" style="0" width="17.64"/>
  </cols>
  <sheetData>
    <row r="1" customFormat="false" ht="32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2" hidden="false" customHeight="true" outlineLevel="0" collapsed="false">
      <c r="A2" s="16" t="s">
        <v>121</v>
      </c>
      <c r="B2" s="16"/>
      <c r="C2" s="16"/>
      <c r="D2" s="16"/>
      <c r="E2" s="16"/>
      <c r="F2" s="16"/>
      <c r="G2" s="16"/>
      <c r="H2" s="16"/>
    </row>
    <row r="3" customFormat="false" ht="8" hidden="false" customHeight="true" outlineLevel="0" collapsed="false">
      <c r="A3" s="17"/>
      <c r="B3" s="17"/>
      <c r="C3" s="17"/>
      <c r="D3" s="17"/>
      <c r="E3" s="17"/>
      <c r="F3" s="17"/>
      <c r="G3" s="17"/>
      <c r="H3" s="17"/>
    </row>
    <row r="4" customFormat="false" ht="15" hidden="false" customHeight="true" outlineLevel="0" collapsed="false">
      <c r="A4" s="18" t="s">
        <v>122</v>
      </c>
      <c r="B4" s="18"/>
      <c r="C4" s="18" t="s">
        <v>123</v>
      </c>
      <c r="D4" s="18"/>
      <c r="E4" s="18" t="s">
        <v>124</v>
      </c>
      <c r="F4" s="18"/>
      <c r="G4" s="18" t="s">
        <v>125</v>
      </c>
      <c r="H4" s="18"/>
    </row>
    <row r="5" customFormat="false" ht="28" hidden="false" customHeight="true" outlineLevel="0" collapsed="false">
      <c r="A5" s="19" t="n">
        <f aca="false">COUNT(Data!$G$2:$G$64)</f>
        <v>63</v>
      </c>
      <c r="B5" s="19"/>
      <c r="C5" s="20" t="n">
        <f aca="false">SUMIFS(Data!$G:$G,Data!$C:$C,Source!$B$9)</f>
        <v>362.671</v>
      </c>
      <c r="D5" s="20"/>
      <c r="E5" s="20" t="n">
        <f aca="false">SUMIFS(Data!$G:$G,Data!$C:$C,2023)</f>
        <v>237.237</v>
      </c>
      <c r="F5" s="20"/>
      <c r="G5" s="21" t="n">
        <f aca="false">E5/C5</f>
        <v>0.654138323714882</v>
      </c>
      <c r="H5" s="21"/>
    </row>
    <row r="6" customFormat="false" ht="8" hidden="false" customHeight="true" outlineLevel="0" collapsed="false">
      <c r="A6" s="17"/>
      <c r="B6" s="17"/>
      <c r="C6" s="17"/>
      <c r="D6" s="17"/>
      <c r="E6" s="17"/>
      <c r="F6" s="17"/>
      <c r="G6" s="17"/>
      <c r="H6" s="17"/>
    </row>
    <row r="7" customFormat="false" ht="15" hidden="false" customHeight="true" outlineLevel="0" collapsed="false">
      <c r="A7" s="18" t="s">
        <v>126</v>
      </c>
      <c r="B7" s="18"/>
      <c r="C7" s="18" t="s">
        <v>127</v>
      </c>
      <c r="D7" s="18"/>
      <c r="E7" s="18" t="s">
        <v>128</v>
      </c>
      <c r="F7" s="18"/>
      <c r="G7" s="18" t="s">
        <v>129</v>
      </c>
      <c r="H7" s="18"/>
    </row>
    <row r="8" customFormat="false" ht="28" hidden="false" customHeight="true" outlineLevel="0" collapsed="false">
      <c r="A8" s="20" t="n">
        <f aca="false">MIN(Data!$G$2:$G$64)</f>
        <v>0.57</v>
      </c>
      <c r="B8" s="20"/>
      <c r="C8" s="20" t="n">
        <f aca="false">MAX(Data!$G$2:$G$64)</f>
        <v>31.985</v>
      </c>
      <c r="D8" s="20"/>
      <c r="E8" s="20" t="n">
        <f aca="false">AVERAGE(Data!$G$2:$G$61)</f>
        <v>12.9805166666667</v>
      </c>
      <c r="F8" s="20"/>
      <c r="G8" s="22" t="n">
        <f aca="false">COUNTIF(Data!$V$2:$V$64,"Anomaly")</f>
        <v>0</v>
      </c>
      <c r="H8" s="22"/>
    </row>
    <row r="9" customFormat="false" ht="8" hidden="false" customHeight="true" outlineLevel="0" collapsed="false">
      <c r="A9" s="17"/>
      <c r="B9" s="17"/>
      <c r="C9" s="17"/>
      <c r="D9" s="17"/>
      <c r="E9" s="17"/>
      <c r="F9" s="17"/>
      <c r="G9" s="17"/>
      <c r="H9" s="17"/>
    </row>
    <row r="10" customFormat="false" ht="15" hidden="false" customHeight="true" outlineLevel="0" collapsed="false">
      <c r="A10" s="23" t="s">
        <v>130</v>
      </c>
      <c r="B10" s="24" t="s">
        <v>131</v>
      </c>
      <c r="C10" s="24"/>
      <c r="D10" s="24"/>
      <c r="E10" s="24"/>
      <c r="F10" s="24"/>
      <c r="G10" s="24"/>
      <c r="H10" s="24"/>
    </row>
    <row r="11" customFormat="false" ht="15" hidden="false" customHeight="true" outlineLevel="0" collapsed="false">
      <c r="A11" s="23" t="s">
        <v>132</v>
      </c>
      <c r="B11" s="24" t="s">
        <v>133</v>
      </c>
      <c r="C11" s="24"/>
      <c r="D11" s="24"/>
      <c r="E11" s="24"/>
      <c r="F11" s="24"/>
      <c r="G11" s="24"/>
      <c r="H11" s="24"/>
    </row>
    <row r="12" customFormat="false" ht="15" hidden="false" customHeight="true" outlineLevel="0" collapsed="false">
      <c r="A12" s="23" t="s">
        <v>134</v>
      </c>
      <c r="B12" s="24" t="s">
        <v>135</v>
      </c>
      <c r="C12" s="24"/>
      <c r="D12" s="24"/>
      <c r="E12" s="24"/>
      <c r="F12" s="24"/>
      <c r="G12" s="24"/>
      <c r="H12" s="24"/>
    </row>
    <row r="13" customFormat="false" ht="8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</row>
  </sheetData>
  <mergeCells count="21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B10:H10"/>
    <mergeCell ref="B11:H11"/>
    <mergeCell ref="B12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2026-05-13T03:19:23Z</dcterms:modified>
  <cp:revision>2</cp:revision>
  <dc:subject/>
  <dc:title/>
</cp:coreProperties>
</file>